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un of Show" sheetId="1" r:id="rId5"/>
    <sheet state="visible" name="Hop Lee Order" sheetId="2" r:id="rId6"/>
    <sheet state="visible" name="Budget" sheetId="3" r:id="rId7"/>
    <sheet state="visible" name="To Do" sheetId="4" r:id="rId8"/>
    <sheet state="visible" name="Rehearsal Dinner" sheetId="5" r:id="rId9"/>
    <sheet state="visible" name="Drinks" sheetId="6" r:id="rId10"/>
    <sheet state="visible" name="Bergen Afterparty" sheetId="7" r:id="rId11"/>
    <sheet state="visible" name="Mermaid Spa" sheetId="8" r:id="rId12"/>
    <sheet state="visible" name="Upload for Zola" sheetId="9" r:id="rId13"/>
  </sheets>
  <definedNames>
    <definedName hidden="1" localSheetId="4" name="_xlnm._FilterDatabase">'Rehearsal Dinner'!$A$2:$T$113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tc={4e8eebc4-0119-4cb0-8045-ece2a2b438c8}</author>
  </authors>
  <commentList>
    <comment authorId="0" xr:uid="{4e8eebc4-0119-4cb0-8045-ece2a2b438c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@argiannico91@gmail.com can you update the spelling of their names and add email addresses?
</t>
      </text>
    </comment>
  </commentList>
</comments>
</file>

<file path=xl/sharedStrings.xml><?xml version="1.0" encoding="utf-8"?>
<sst xmlns="http://schemas.openxmlformats.org/spreadsheetml/2006/main" count="1204" uniqueCount="607">
  <si>
    <t xml:space="preserve">Time </t>
  </si>
  <si>
    <t xml:space="preserve">Item </t>
  </si>
  <si>
    <t>People Involved</t>
  </si>
  <si>
    <t xml:space="preserve">Location </t>
  </si>
  <si>
    <t>Photographer Present</t>
  </si>
  <si>
    <t xml:space="preserve">Wednesday </t>
  </si>
  <si>
    <t xml:space="preserve">Workout </t>
  </si>
  <si>
    <t>Hair cut</t>
  </si>
  <si>
    <t xml:space="preserve">Remy </t>
  </si>
  <si>
    <t xml:space="preserve">Persons of interest </t>
  </si>
  <si>
    <t>Brows</t>
  </si>
  <si>
    <t xml:space="preserve">Hannah </t>
  </si>
  <si>
    <t>Brow salon</t>
  </si>
  <si>
    <t>Nails</t>
  </si>
  <si>
    <t>Hannah</t>
  </si>
  <si>
    <t>Honey</t>
  </si>
  <si>
    <t xml:space="preserve">Thursday </t>
  </si>
  <si>
    <t xml:space="preserve">Party favors picked up </t>
  </si>
  <si>
    <t xml:space="preserve">Hannah + Remy + Tyler + Lena </t>
  </si>
  <si>
    <t xml:space="preserve">Alcohol/Mixer Pick Up </t>
  </si>
  <si>
    <t xml:space="preserve">Hannah + Remy </t>
  </si>
  <si>
    <t>Costco</t>
  </si>
  <si>
    <t>Family arrives</t>
  </si>
  <si>
    <t xml:space="preserve">Aloft Brooklyn </t>
  </si>
  <si>
    <t xml:space="preserve">Friday </t>
  </si>
  <si>
    <t>Morning</t>
  </si>
  <si>
    <t>Glassware delivery</t>
  </si>
  <si>
    <t xml:space="preserve">Bergen </t>
  </si>
  <si>
    <t xml:space="preserve">Flower pick up </t>
  </si>
  <si>
    <t>Hannah + ladies</t>
  </si>
  <si>
    <t>27th Street Flower Market</t>
  </si>
  <si>
    <t xml:space="preserve">Church Flower Branches </t>
  </si>
  <si>
    <t xml:space="preserve">Bouquet and Boutonierre </t>
  </si>
  <si>
    <t xml:space="preserve">Flower drop off and set up </t>
  </si>
  <si>
    <t xml:space="preserve">Resurrection Church </t>
  </si>
  <si>
    <t xml:space="preserve">Rehearsal </t>
  </si>
  <si>
    <t xml:space="preserve">Wedding Parties </t>
  </si>
  <si>
    <t>Rehearsal dinner</t>
  </si>
  <si>
    <t xml:space="preserve">60-65 people </t>
  </si>
  <si>
    <t>Hop Lee</t>
  </si>
  <si>
    <t>Speeches</t>
  </si>
  <si>
    <t>Matt + Alban + Amandine + Julia</t>
  </si>
  <si>
    <t xml:space="preserve">Saturday </t>
  </si>
  <si>
    <t>Preparation</t>
  </si>
  <si>
    <t xml:space="preserve">Morning walk </t>
  </si>
  <si>
    <t xml:space="preserve">10 AM - 12 PM </t>
  </si>
  <si>
    <t xml:space="preserve">Hair and Makeup </t>
  </si>
  <si>
    <t xml:space="preserve">718 Salon </t>
  </si>
  <si>
    <t>Breakfast delivered</t>
  </si>
  <si>
    <t>Bergen + Emily's Apartment</t>
  </si>
  <si>
    <t>Lena + Laura + Amandine + Liz</t>
  </si>
  <si>
    <t>Park Deli</t>
  </si>
  <si>
    <t xml:space="preserve">Get ready </t>
  </si>
  <si>
    <t xml:space="preserve">Yes </t>
  </si>
  <si>
    <t>Soundhouse delivery to LaRina</t>
  </si>
  <si>
    <t>Ceremony</t>
  </si>
  <si>
    <t>Groom's party arrives at church</t>
  </si>
  <si>
    <t>Remy + Fam + Friends</t>
  </si>
  <si>
    <t xml:space="preserve">Bride's party arrives at church </t>
  </si>
  <si>
    <t>Hannah + Fam + Friends</t>
  </si>
  <si>
    <t xml:space="preserve">Ceremony </t>
  </si>
  <si>
    <t>Everyone</t>
  </si>
  <si>
    <t>Remy song</t>
  </si>
  <si>
    <t xml:space="preserve">Emily + James </t>
  </si>
  <si>
    <t xml:space="preserve">Hannah song </t>
  </si>
  <si>
    <t xml:space="preserve">Sermon </t>
  </si>
  <si>
    <t>Steve + Lucas</t>
  </si>
  <si>
    <t>Couple song</t>
  </si>
  <si>
    <t>Reception</t>
  </si>
  <si>
    <t xml:space="preserve">Everyone </t>
  </si>
  <si>
    <t>LaRina</t>
  </si>
  <si>
    <t xml:space="preserve">6 PM - 9 PM </t>
  </si>
  <si>
    <t>Speeches + MC</t>
  </si>
  <si>
    <t xml:space="preserve">Alban &gt; 
Rachel + Erin + Debbie + Cliff + Beth + Steve + Cindy + Alfonso + Negra + Sterling + JP </t>
  </si>
  <si>
    <t>Yes</t>
  </si>
  <si>
    <t xml:space="preserve">Cake </t>
  </si>
  <si>
    <t xml:space="preserve">Mika + Remy + Hannah </t>
  </si>
  <si>
    <t>Dancing</t>
  </si>
  <si>
    <t>Rayo DJing</t>
  </si>
  <si>
    <t>Last call</t>
  </si>
  <si>
    <t xml:space="preserve">Soundhouse breakdown </t>
  </si>
  <si>
    <t xml:space="preserve">LaRina Team </t>
  </si>
  <si>
    <t>Afterparty + Preparation</t>
  </si>
  <si>
    <t>10:30 PM - 12 AM</t>
  </si>
  <si>
    <t>Prep Bergen for Afterparty</t>
  </si>
  <si>
    <t xml:space="preserve">Gabe + Ally + Jon </t>
  </si>
  <si>
    <t>Wine Opened</t>
  </si>
  <si>
    <t xml:space="preserve">Bar Set Up </t>
  </si>
  <si>
    <t>Music Set Up</t>
  </si>
  <si>
    <t xml:space="preserve">Ice Ready </t>
  </si>
  <si>
    <t xml:space="preserve">12:30 AM - 4 AM </t>
  </si>
  <si>
    <t>Afterparty</t>
  </si>
  <si>
    <t xml:space="preserve">Party people </t>
  </si>
  <si>
    <t xml:space="preserve">Disposable cameras </t>
  </si>
  <si>
    <t xml:space="preserve">DJ </t>
  </si>
  <si>
    <t>James + Liz</t>
  </si>
  <si>
    <t>Food + Beverage</t>
  </si>
  <si>
    <t>Pizza Delivered</t>
  </si>
  <si>
    <t>Balera</t>
  </si>
  <si>
    <t>Sunday</t>
  </si>
  <si>
    <t xml:space="preserve">12 PM - 4 PM </t>
  </si>
  <si>
    <t xml:space="preserve">Sauna Recovery </t>
  </si>
  <si>
    <t xml:space="preserve">Mermaid Spa </t>
  </si>
  <si>
    <t>Dim Sum</t>
  </si>
  <si>
    <t>Snow Pea Leaves 15.95</t>
  </si>
  <si>
    <t>String Bean with Garlic Sauce</t>
  </si>
  <si>
    <t xml:space="preserve">Eggplants w Garlic Sauce </t>
  </si>
  <si>
    <t>No. 11 Noodle with Black Mushroom $16.95</t>
  </si>
  <si>
    <t>No. 6 Shrimp Fried Rice $12.95</t>
  </si>
  <si>
    <t>Spicy Beef Chow Fun 12.95</t>
  </si>
  <si>
    <t>Fried Triple Shrimp, Scallop, Squid $35.95</t>
  </si>
  <si>
    <t>No. 5 Steamed Sea Bass $24.95</t>
  </si>
  <si>
    <t xml:space="preserve">Shrimp and Walnuts </t>
  </si>
  <si>
    <t>No 4 Whole Crispy Fried Chicken Cantonese Style 16.95</t>
  </si>
  <si>
    <t>Sizzling Beef Woody Style 27.95</t>
  </si>
  <si>
    <t>Peking Sauce Pork Chop</t>
  </si>
  <si>
    <t>No 1 Peking Duck 55.95</t>
  </si>
  <si>
    <t>Tax</t>
  </si>
  <si>
    <t>Gratuity</t>
  </si>
  <si>
    <t xml:space="preserve">Budget </t>
  </si>
  <si>
    <t>Ceremony Church</t>
  </si>
  <si>
    <t>PAID</t>
  </si>
  <si>
    <t>Food &amp; Beverage Minimum</t>
  </si>
  <si>
    <t>Deposit 40%</t>
  </si>
  <si>
    <t xml:space="preserve">20% Gratuity </t>
  </si>
  <si>
    <t xml:space="preserve">Remaining </t>
  </si>
  <si>
    <t>UNPAID</t>
  </si>
  <si>
    <t>Photography</t>
  </si>
  <si>
    <t xml:space="preserve">Kory-Deposit </t>
  </si>
  <si>
    <t xml:space="preserve">DJ - Soundhouse </t>
  </si>
  <si>
    <t xml:space="preserve">Supplemental Alcohol </t>
  </si>
  <si>
    <t>Beer, Sparkling Water, Tonic Water, Gin, Tequila</t>
  </si>
  <si>
    <t xml:space="preserve">Costco Run </t>
  </si>
  <si>
    <t>Pizza</t>
  </si>
  <si>
    <t xml:space="preserve">Total </t>
  </si>
  <si>
    <t xml:space="preserve">Minus Parent Contribution </t>
  </si>
  <si>
    <t xml:space="preserve">Each </t>
  </si>
  <si>
    <t xml:space="preserve">Tyler </t>
  </si>
  <si>
    <t xml:space="preserve">Shot list </t>
  </si>
  <si>
    <t>Disposable cameras</t>
  </si>
  <si>
    <t>La Rina</t>
  </si>
  <si>
    <t>Confirm F&amp;B</t>
  </si>
  <si>
    <t>Extra Beverage</t>
  </si>
  <si>
    <t>Skurnik</t>
  </si>
  <si>
    <t>The Source</t>
  </si>
  <si>
    <t>Cake</t>
  </si>
  <si>
    <t>Mika</t>
  </si>
  <si>
    <t>Carrot</t>
  </si>
  <si>
    <t xml:space="preserve">Signage </t>
  </si>
  <si>
    <t xml:space="preserve">Posters </t>
  </si>
  <si>
    <t>Menus</t>
  </si>
  <si>
    <t>Music and AV</t>
  </si>
  <si>
    <t xml:space="preserve">Ryo </t>
  </si>
  <si>
    <t xml:space="preserve">Sound house AV ordered </t>
  </si>
  <si>
    <t xml:space="preserve">Music set list </t>
  </si>
  <si>
    <t>Run of show</t>
  </si>
  <si>
    <t xml:space="preserve">Speech list </t>
  </si>
  <si>
    <t xml:space="preserve">MC </t>
  </si>
  <si>
    <t>Alban</t>
  </si>
  <si>
    <t xml:space="preserve">Resurrection </t>
  </si>
  <si>
    <t>Guitar/Violin/Piano</t>
  </si>
  <si>
    <t>Vows</t>
  </si>
  <si>
    <t xml:space="preserve">Hupa + Glass </t>
  </si>
  <si>
    <t>Beer</t>
  </si>
  <si>
    <t>Wine</t>
  </si>
  <si>
    <t xml:space="preserve">Liquor </t>
  </si>
  <si>
    <t>Juiced fruit</t>
  </si>
  <si>
    <t xml:space="preserve">Garnishes </t>
  </si>
  <si>
    <t>Favors</t>
  </si>
  <si>
    <t xml:space="preserve">Pizza La Flor </t>
  </si>
  <si>
    <t>Rental glassware</t>
  </si>
  <si>
    <t>Cleaners</t>
  </si>
  <si>
    <t xml:space="preserve">Bathhouse </t>
  </si>
  <si>
    <t xml:space="preserve">Preorder tickets </t>
  </si>
  <si>
    <t>Clothing</t>
  </si>
  <si>
    <t>Tailor dress</t>
  </si>
  <si>
    <t>ALT</t>
  </si>
  <si>
    <t>In progress</t>
  </si>
  <si>
    <t xml:space="preserve">Party dress </t>
  </si>
  <si>
    <t xml:space="preserve">Shoes - ceremony and later </t>
  </si>
  <si>
    <t xml:space="preserve">Hair </t>
  </si>
  <si>
    <t xml:space="preserve">Makeup </t>
  </si>
  <si>
    <t xml:space="preserve">Erin and Rachel </t>
  </si>
  <si>
    <t>Flowers</t>
  </si>
  <si>
    <t xml:space="preserve">Park Deli </t>
  </si>
  <si>
    <t>Vale of Casmere</t>
  </si>
  <si>
    <t xml:space="preserve">Event ID: 923712 </t>
  </si>
  <si>
    <t>confirmation number is SD5Z9713473X6M</t>
  </si>
  <si>
    <t xml:space="preserve">Transaction Code:CPY053247987 </t>
  </si>
  <si>
    <t>First Name</t>
  </si>
  <si>
    <t>Last Name</t>
  </si>
  <si>
    <t>Rehearsal Dinner</t>
  </si>
  <si>
    <t>Rehearsal Dinner No</t>
  </si>
  <si>
    <t>Tyler</t>
  </si>
  <si>
    <t>Silvestre</t>
  </si>
  <si>
    <t>Attending</t>
  </si>
  <si>
    <t>Steven</t>
  </si>
  <si>
    <t>McClelland</t>
  </si>
  <si>
    <t>Sterling</t>
  </si>
  <si>
    <t>Giannico</t>
  </si>
  <si>
    <t>Stella</t>
  </si>
  <si>
    <t>Crosetto</t>
  </si>
  <si>
    <t>Remington</t>
  </si>
  <si>
    <t>Rachel</t>
  </si>
  <si>
    <t>Legon</t>
  </si>
  <si>
    <t>Mike</t>
  </si>
  <si>
    <t>Sheller</t>
  </si>
  <si>
    <t>Matt</t>
  </si>
  <si>
    <t>Schwartz</t>
  </si>
  <si>
    <t>Maria</t>
  </si>
  <si>
    <t>Burgues</t>
  </si>
  <si>
    <t>Lyle</t>
  </si>
  <si>
    <t>Railsback</t>
  </si>
  <si>
    <t>Lucas</t>
  </si>
  <si>
    <t>Isakowitz</t>
  </si>
  <si>
    <t>Liz</t>
  </si>
  <si>
    <t>Lee</t>
  </si>
  <si>
    <t>Lena</t>
  </si>
  <si>
    <t>Enzminger</t>
  </si>
  <si>
    <t>Laura</t>
  </si>
  <si>
    <t>Stevenson</t>
  </si>
  <si>
    <t>Kyle</t>
  </si>
  <si>
    <t>Cunningham</t>
  </si>
  <si>
    <t>Ken</t>
  </si>
  <si>
    <t>Zukin</t>
  </si>
  <si>
    <t>Kathy</t>
  </si>
  <si>
    <t>Fox</t>
  </si>
  <si>
    <t>Julia</t>
  </si>
  <si>
    <t>Nitsche</t>
  </si>
  <si>
    <t>Jules</t>
  </si>
  <si>
    <t>Colangelo</t>
  </si>
  <si>
    <t>JP</t>
  </si>
  <si>
    <t>Knapp</t>
  </si>
  <si>
    <t>Joanie</t>
  </si>
  <si>
    <t>Guy</t>
  </si>
  <si>
    <t>Freemantle</t>
  </si>
  <si>
    <t>Geannie</t>
  </si>
  <si>
    <t>Erin</t>
  </si>
  <si>
    <t>Cain</t>
  </si>
  <si>
    <t>Emily</t>
  </si>
  <si>
    <t>Carter</t>
  </si>
  <si>
    <t>Dylan</t>
  </si>
  <si>
    <t>Moon</t>
  </si>
  <si>
    <t>Drew</t>
  </si>
  <si>
    <t>Cuddy</t>
  </si>
  <si>
    <t>Debbie</t>
  </si>
  <si>
    <t>Walsh</t>
  </si>
  <si>
    <t>Cliff</t>
  </si>
  <si>
    <t>Cindy</t>
  </si>
  <si>
    <t>Beth</t>
  </si>
  <si>
    <t>Anna</t>
  </si>
  <si>
    <t>Gill</t>
  </si>
  <si>
    <t>Amandine</t>
  </si>
  <si>
    <t>Bressand</t>
  </si>
  <si>
    <t>Alfonso</t>
  </si>
  <si>
    <t>Sue</t>
  </si>
  <si>
    <t>Hamilton</t>
  </si>
  <si>
    <t>Jim</t>
  </si>
  <si>
    <t>Weeast</t>
  </si>
  <si>
    <t>Doug</t>
  </si>
  <si>
    <t>Vandenbosch</t>
  </si>
  <si>
    <t>Ali</t>
  </si>
  <si>
    <t>Camille</t>
  </si>
  <si>
    <t>Van Kote</t>
  </si>
  <si>
    <t>James</t>
  </si>
  <si>
    <t>Ems boo</t>
  </si>
  <si>
    <t xml:space="preserve">Attending </t>
  </si>
  <si>
    <t>Joseph</t>
  </si>
  <si>
    <t>Werle</t>
  </si>
  <si>
    <t>Ryan</t>
  </si>
  <si>
    <t>Hanson</t>
  </si>
  <si>
    <t>Tasha</t>
  </si>
  <si>
    <t>Bach</t>
  </si>
  <si>
    <t xml:space="preserve"> </t>
  </si>
  <si>
    <t>Elisa</t>
  </si>
  <si>
    <t>Zavala</t>
  </si>
  <si>
    <t>Nidhi</t>
  </si>
  <si>
    <t>Hebbar</t>
  </si>
  <si>
    <t>Geoff</t>
  </si>
  <si>
    <t>Charles</t>
  </si>
  <si>
    <t>Wanetik</t>
  </si>
  <si>
    <t>Nguyen</t>
  </si>
  <si>
    <t>Neil</t>
  </si>
  <si>
    <t>Rosen</t>
  </si>
  <si>
    <t>Lisa</t>
  </si>
  <si>
    <t>Paola</t>
  </si>
  <si>
    <t>Piers-Torres</t>
  </si>
  <si>
    <t>Alan</t>
  </si>
  <si>
    <t>Quinn</t>
  </si>
  <si>
    <t>Toni</t>
  </si>
  <si>
    <t>Ciprian-Matthews</t>
  </si>
  <si>
    <t>Costi</t>
  </si>
  <si>
    <t>Caset</t>
  </si>
  <si>
    <t>Feldbaum</t>
  </si>
  <si>
    <t>No</t>
  </si>
  <si>
    <t>Carol</t>
  </si>
  <si>
    <t>Hebb</t>
  </si>
  <si>
    <t xml:space="preserve">Tess </t>
  </si>
  <si>
    <t xml:space="preserve">Luke </t>
  </si>
  <si>
    <t>Vir</t>
  </si>
  <si>
    <t>Patel</t>
  </si>
  <si>
    <t>Vicki</t>
  </si>
  <si>
    <t>Huebner</t>
  </si>
  <si>
    <t>Megan</t>
  </si>
  <si>
    <t>Dave</t>
  </si>
  <si>
    <t>Rayo</t>
  </si>
  <si>
    <t>Beats</t>
  </si>
  <si>
    <t>Halevy</t>
  </si>
  <si>
    <t>Matteo</t>
  </si>
  <si>
    <t>Vaccari</t>
  </si>
  <si>
    <t>Lexie</t>
  </si>
  <si>
    <t>Mansfield</t>
  </si>
  <si>
    <t>Kristen</t>
  </si>
  <si>
    <t>Goceljak</t>
  </si>
  <si>
    <t>Jay</t>
  </si>
  <si>
    <t>Strell</t>
  </si>
  <si>
    <t>Poppy</t>
  </si>
  <si>
    <t>Henry</t>
  </si>
  <si>
    <t>Nadya</t>
  </si>
  <si>
    <t>Elahe</t>
  </si>
  <si>
    <t>Hosseini</t>
  </si>
  <si>
    <t>Ed</t>
  </si>
  <si>
    <t>Rivera</t>
  </si>
  <si>
    <t>Chris</t>
  </si>
  <si>
    <t>Albert</t>
  </si>
  <si>
    <t>Ben</t>
  </si>
  <si>
    <t>Forey</t>
  </si>
  <si>
    <t>Sheryl</t>
  </si>
  <si>
    <t>Magaziner</t>
  </si>
  <si>
    <t>Sarah</t>
  </si>
  <si>
    <t>Sam</t>
  </si>
  <si>
    <t>Rob</t>
  </si>
  <si>
    <t>Naji</t>
  </si>
  <si>
    <t>Lawson</t>
  </si>
  <si>
    <t>Kate</t>
  </si>
  <si>
    <t>Steiker-Ginzberg</t>
  </si>
  <si>
    <t>Josh</t>
  </si>
  <si>
    <t>Druck</t>
  </si>
  <si>
    <t>Joe</t>
  </si>
  <si>
    <t>Hafner</t>
  </si>
  <si>
    <t>Jenn</t>
  </si>
  <si>
    <t>Rayo Wife</t>
  </si>
  <si>
    <t>Ellie</t>
  </si>
  <si>
    <t>Fitzsimmons</t>
  </si>
  <si>
    <t>Conor</t>
  </si>
  <si>
    <t>Smyth</t>
  </si>
  <si>
    <t>Becca</t>
  </si>
  <si>
    <t>Ebner</t>
  </si>
  <si>
    <t>Ariana</t>
  </si>
  <si>
    <t>Mavaddat</t>
  </si>
  <si>
    <t>Jane</t>
  </si>
  <si>
    <t>Kenny</t>
  </si>
  <si>
    <t xml:space="preserve">Greg </t>
  </si>
  <si>
    <t>Myer</t>
  </si>
  <si>
    <t>Zack</t>
  </si>
  <si>
    <t>King</t>
  </si>
  <si>
    <t>Nina</t>
  </si>
  <si>
    <t>Miguel</t>
  </si>
  <si>
    <t>Crivelli</t>
  </si>
  <si>
    <t>Margot</t>
  </si>
  <si>
    <t>Ted</t>
  </si>
  <si>
    <t>Vance</t>
  </si>
  <si>
    <t>Noah</t>
  </si>
  <si>
    <t>Chilton</t>
  </si>
  <si>
    <t>Iacopo</t>
  </si>
  <si>
    <t>Di Teodoro</t>
  </si>
  <si>
    <t>Kylie</t>
  </si>
  <si>
    <t>Zak</t>
  </si>
  <si>
    <t xml:space="preserve">Bea </t>
  </si>
  <si>
    <t xml:space="preserve">Mona </t>
  </si>
  <si>
    <t>Hamid</t>
  </si>
  <si>
    <t>Nico</t>
  </si>
  <si>
    <t>Baccini</t>
  </si>
  <si>
    <t>Cocktail drinkers: roughly 50–55 people will lean cocktails over wine, but expect overlap — some folks will start with a G&amp;T and shift to wine later, or bounce back and forth. Plan for about 3–4 drinks per cocktail drinker on average across the night.</t>
  </si>
  <si>
    <t>That's roughly 175–200 cocktails total, split between the two. G&amp;Ts tend to be the crowd-pleaser at receptions (lighter, easier drinking), so figure a 60/40 split favoring G&amp;Ts.</t>
  </si>
  <si>
    <t>G&amp;Ts (~120 drinks):</t>
  </si>
  <si>
    <t>Gin: 7 bottles (750ml, ~17 drinks per bottle at 1.5oz pours)</t>
  </si>
  <si>
    <t>Tonic: 10–12 liters (figure 4–5oz tonic per drink — buy quality tonic, it makes or breaks a G&amp;T)</t>
  </si>
  <si>
    <t>Limes: 30–40 (a quarter wedge per drink plus garnish)</t>
  </si>
  <si>
    <t>Negronis (~80 drinks):</t>
  </si>
  <si>
    <t>Gin: 8 bottles</t>
  </si>
  <si>
    <t>Campari: 4 bottles</t>
  </si>
  <si>
    <t>Sweet vermouth: 4 bottles</t>
  </si>
  <si>
    <t>Oranges: 15–20 for peels/garnish</t>
  </si>
  <si>
    <t>Full shopping list for the night:</t>
  </si>
  <si>
    <t>Gin: 15  bottles total (shared across both cocktails)</t>
  </si>
  <si>
    <t>Tonic water: 10–12 liters</t>
  </si>
  <si>
    <t>Red wine: 3 cases (4 with buffer)</t>
  </si>
  <si>
    <t>White wine: 2 cases</t>
  </si>
  <si>
    <t>Limes: 35–40</t>
  </si>
  <si>
    <t>Oranges: 15–20</t>
  </si>
  <si>
    <t>Ice: lots — at least 150–200 lbs, seriously don't underestimate ice</t>
  </si>
  <si>
    <t>Bergen After Party</t>
  </si>
  <si>
    <t>Tess</t>
  </si>
  <si>
    <t>Delbyck</t>
  </si>
  <si>
    <t>Gabe</t>
  </si>
  <si>
    <t>Relyea</t>
  </si>
  <si>
    <t>No Response</t>
  </si>
  <si>
    <t>McGuirk</t>
  </si>
  <si>
    <t>Mermaid Spa</t>
  </si>
  <si>
    <t>Confirmed?</t>
  </si>
  <si>
    <t xml:space="preserve">Alternate Contact </t>
  </si>
  <si>
    <t xml:space="preserve">Contact </t>
  </si>
  <si>
    <t>Name</t>
  </si>
  <si>
    <t>Plus One</t>
  </si>
  <si>
    <t xml:space="preserve">amandine.bressand@gmail.com </t>
  </si>
  <si>
    <t>Amandine Bressand</t>
  </si>
  <si>
    <t>Liam George</t>
  </si>
  <si>
    <t xml:space="preserve">alban.bress@gmail.com </t>
  </si>
  <si>
    <t>Alban Bressane</t>
  </si>
  <si>
    <t>Goli</t>
  </si>
  <si>
    <t xml:space="preserve">laurapstevenson@gmail.com </t>
  </si>
  <si>
    <t>Laura Stevenson</t>
  </si>
  <si>
    <t>Charles III</t>
  </si>
  <si>
    <t xml:space="preserve">elizabethkslee@gmail.com </t>
  </si>
  <si>
    <t>Liz Lee</t>
  </si>
  <si>
    <t xml:space="preserve">lenzminger@gmail.com </t>
  </si>
  <si>
    <t>Lena Enzminger</t>
  </si>
  <si>
    <t>Dylan Moon</t>
  </si>
  <si>
    <t xml:space="preserve">julianitsche117@gmail.com </t>
  </si>
  <si>
    <t>Julia Nitsche</t>
  </si>
  <si>
    <t>Casey Dwyer</t>
  </si>
  <si>
    <t xml:space="preserve">emilycarter410@gmail.com </t>
  </si>
  <si>
    <t>Emily Carter</t>
  </si>
  <si>
    <t xml:space="preserve">James </t>
  </si>
  <si>
    <t xml:space="preserve">Mcw2143@gmail.com </t>
  </si>
  <si>
    <t>Mike Wanetik</t>
  </si>
  <si>
    <t>Cindy Nguyen</t>
  </si>
  <si>
    <t xml:space="preserve">lucasisakowitz@gmail.com </t>
  </si>
  <si>
    <t>Lucas Isakowitz</t>
  </si>
  <si>
    <t>osman.raphael@gmail.co</t>
  </si>
  <si>
    <t>candice.chemel@gmail.com</t>
  </si>
  <si>
    <t>Candice Chemel</t>
  </si>
  <si>
    <t xml:space="preserve">Raphael-Bachir Osman </t>
  </si>
  <si>
    <t>japesk@gmail.com</t>
  </si>
  <si>
    <t xml:space="preserve">JP Knapp </t>
  </si>
  <si>
    <t>tysilvestre@gmail.com</t>
  </si>
  <si>
    <t>Tyler Silvestre</t>
  </si>
  <si>
    <t xml:space="preserve">Mika Halevy </t>
  </si>
  <si>
    <t>drewcuddy@gmail.com</t>
  </si>
  <si>
    <t xml:space="preserve">Drew Cuddy </t>
  </si>
  <si>
    <t xml:space="preserve">Julescolang@gmail.com </t>
  </si>
  <si>
    <t>Jules Colangelo</t>
  </si>
  <si>
    <t xml:space="preserve">Joe Werle </t>
  </si>
  <si>
    <t xml:space="preserve">rmm5264@gmail.com </t>
  </si>
  <si>
    <t>Rachel McClelland</t>
  </si>
  <si>
    <t xml:space="preserve">Kyle Cunningham </t>
  </si>
  <si>
    <t xml:space="preserve">erinelizabeth165@gmail.com </t>
  </si>
  <si>
    <t>Erin Cain</t>
  </si>
  <si>
    <t>ecain87@gmail.com</t>
  </si>
  <si>
    <t>Emily Cain</t>
  </si>
  <si>
    <t xml:space="preserve">Guy Freemantle </t>
  </si>
  <si>
    <t>stevenrm@mac.com</t>
  </si>
  <si>
    <t>dmcclelland27@gmail.com</t>
  </si>
  <si>
    <t>Steven McClelland</t>
  </si>
  <si>
    <t>Beth McClelland</t>
  </si>
  <si>
    <t>zukin@rutgers.edu</t>
  </si>
  <si>
    <t>walsh@eagleton.rutgers.edu</t>
  </si>
  <si>
    <t>Debbie Walsh</t>
  </si>
  <si>
    <t>Cliff Zukin</t>
  </si>
  <si>
    <t xml:space="preserve">Kzukin@comcast.net </t>
  </si>
  <si>
    <t xml:space="preserve">Ken Zukin </t>
  </si>
  <si>
    <t>suemcham@gmail.com</t>
  </si>
  <si>
    <t xml:space="preserve">Sue Hamilton </t>
  </si>
  <si>
    <t>Jim Hamilton</t>
  </si>
  <si>
    <t>c.wright31@outlook.com</t>
  </si>
  <si>
    <t>Christie Wright</t>
  </si>
  <si>
    <t>Mike Wright</t>
  </si>
  <si>
    <t>douglasvandenbosch@comcast.net</t>
  </si>
  <si>
    <t>Doug Vandenbosch</t>
  </si>
  <si>
    <t>jwwcap@aol.com</t>
  </si>
  <si>
    <t>aliweeast@gmail.com</t>
  </si>
  <si>
    <t xml:space="preserve">Ali Weeast </t>
  </si>
  <si>
    <t xml:space="preserve">Jim Weeast </t>
  </si>
  <si>
    <t>alan.feldbaum@gmail.com</t>
  </si>
  <si>
    <t>chebb@comcast.net</t>
  </si>
  <si>
    <t>Carol Hebb</t>
  </si>
  <si>
    <t xml:space="preserve">Alan Feldbaum </t>
  </si>
  <si>
    <t>eva.oellig@t-online.de</t>
  </si>
  <si>
    <t> l.vandenbosch@t-online.de</t>
  </si>
  <si>
    <t>Lou Vandenbosch</t>
  </si>
  <si>
    <t xml:space="preserve">Eva Vandenbosch </t>
  </si>
  <si>
    <t xml:space="preserve">pnitsche@hotmail.com </t>
  </si>
  <si>
    <t>Paul Nitsche</t>
  </si>
  <si>
    <t xml:space="preserve">paolapierstorres@gmail.com </t>
  </si>
  <si>
    <t>Paola Piers Torres</t>
  </si>
  <si>
    <t>snb3190@gmail.com</t>
  </si>
  <si>
    <t>Tasha Bach</t>
  </si>
  <si>
    <t xml:space="preserve">elahehosseini@gmail.com </t>
  </si>
  <si>
    <t xml:space="preserve">Elahe Hosseini </t>
  </si>
  <si>
    <t xml:space="preserve">tonicm2111@gmail.com </t>
  </si>
  <si>
    <t>Toni Ciprian Matthews</t>
  </si>
  <si>
    <t>rbaenzm@gmail.com</t>
  </si>
  <si>
    <t>Raja Enzminger</t>
  </si>
  <si>
    <t>Peter Enzminer</t>
  </si>
  <si>
    <t xml:space="preserve">ariana.mavaddat@gmail.com </t>
  </si>
  <si>
    <t>Ariana Mavaddat</t>
  </si>
  <si>
    <t xml:space="preserve">alan.s.quinn@gmail.com </t>
  </si>
  <si>
    <t>Alan Quinn</t>
  </si>
  <si>
    <t xml:space="preserve">Ryan Hanson </t>
  </si>
  <si>
    <t xml:space="preserve">Tess Delbyck </t>
  </si>
  <si>
    <t>agiannico@earthlink.net</t>
  </si>
  <si>
    <t>Cindy Giannico</t>
  </si>
  <si>
    <t xml:space="preserve">Alfonso Giannico </t>
  </si>
  <si>
    <t>Teocrosetto@hotmail.com</t>
  </si>
  <si>
    <t>Crosettostella@gmail.com</t>
  </si>
  <si>
    <t>Stella Crosetto</t>
  </si>
  <si>
    <t xml:space="preserve">Teofilo Crosetto </t>
  </si>
  <si>
    <t>Crosetto.lina@gmail.com</t>
  </si>
  <si>
    <t>Jorgelina Crosetto</t>
  </si>
  <si>
    <t>Dominque Hunt</t>
  </si>
  <si>
    <t>Maria Borges</t>
  </si>
  <si>
    <t>csgiannico@gmail.com</t>
  </si>
  <si>
    <t>josephinehermans1@hotmail.com</t>
  </si>
  <si>
    <t>Sterling Giannico</t>
  </si>
  <si>
    <t>Jophie Hermans</t>
  </si>
  <si>
    <t>rajatparr@me.com</t>
  </si>
  <si>
    <t>Raj Parr</t>
  </si>
  <si>
    <t>cathycohn@gmail.com</t>
  </si>
  <si>
    <t>Cathy Cohn</t>
  </si>
  <si>
    <t>lylerailsback@gmail.com</t>
  </si>
  <si>
    <t xml:space="preserve">Lyle Railsback </t>
  </si>
  <si>
    <t>mattkschwartz@me.com</t>
  </si>
  <si>
    <t>Matt Schwartz</t>
  </si>
  <si>
    <t>Rachel Legon</t>
  </si>
  <si>
    <t>blackwoodlazzarino@me.com</t>
  </si>
  <si>
    <t>Kate Blackwood</t>
  </si>
  <si>
    <t>gabe.vicente@me.com</t>
  </si>
  <si>
    <t>Rodrigo Calederon</t>
  </si>
  <si>
    <t>mmichelini95@gmail.com</t>
  </si>
  <si>
    <t>Manu Michelini</t>
  </si>
  <si>
    <t>jbhardy44@icloud.com</t>
  </si>
  <si>
    <t>Jean Baptiste</t>
  </si>
  <si>
    <t>sydjbyrd@icloud.com</t>
  </si>
  <si>
    <t>Matiasrequena@icloud.com</t>
  </si>
  <si>
    <t xml:space="preserve">Matias Requena </t>
  </si>
  <si>
    <t>Syd Byrd</t>
  </si>
  <si>
    <t>s_alfio@hotmail.it</t>
  </si>
  <si>
    <t>Alfio Scrivano</t>
  </si>
  <si>
    <t>Kindalbert4@gmail.com</t>
  </si>
  <si>
    <t>Kgoceljak@hotmail.com</t>
  </si>
  <si>
    <t>Kristen Goceljak</t>
  </si>
  <si>
    <t xml:space="preserve">Chris Albert </t>
  </si>
  <si>
    <t>benjamin.forey@gmail.com</t>
  </si>
  <si>
    <t xml:space="preserve">Ben Forey </t>
  </si>
  <si>
    <t>jaystrell@gmail.com</t>
  </si>
  <si>
    <t>Jay Strell</t>
  </si>
  <si>
    <t>fabian_bravo@hotmail.com</t>
  </si>
  <si>
    <t>Fabiano Bravo</t>
  </si>
  <si>
    <t>oneamerica@mail.com</t>
  </si>
  <si>
    <t>Gustavo Heredia</t>
  </si>
  <si>
    <t>Gabriel Vicente</t>
  </si>
  <si>
    <t>noah@thesourceimports.com</t>
  </si>
  <si>
    <t>Noah Chilton</t>
  </si>
  <si>
    <t>geanniehs@me.com</t>
  </si>
  <si>
    <t>Mike Sheller</t>
  </si>
  <si>
    <t>Geannie Sheller</t>
  </si>
  <si>
    <t>iacdt@aol.com</t>
  </si>
  <si>
    <t>Iacopo Di Teodoro</t>
  </si>
  <si>
    <t>Ted Vance</t>
  </si>
  <si>
    <t>Andrea Vance</t>
  </si>
  <si>
    <t xml:space="preserve">rsebner123@gmail.com </t>
  </si>
  <si>
    <t>Becca Ebner</t>
  </si>
  <si>
    <t>ksg1214@gmail.com</t>
  </si>
  <si>
    <t xml:space="preserve">Kate Steiker Ginzberg </t>
  </si>
  <si>
    <t xml:space="preserve">virkpatel@gmail.com </t>
  </si>
  <si>
    <t xml:space="preserve">Vir Patel </t>
  </si>
  <si>
    <t>Megan Patel</t>
  </si>
  <si>
    <t xml:space="preserve">nidhi.hebbar@gmail.com </t>
  </si>
  <si>
    <t xml:space="preserve">gjc2118@gmail.com </t>
  </si>
  <si>
    <t>Geoff Charles</t>
  </si>
  <si>
    <t>Nidhi Hebbar</t>
  </si>
  <si>
    <t xml:space="preserve">annasgill@gmail.com </t>
  </si>
  <si>
    <t xml:space="preserve">Anna Gill </t>
  </si>
  <si>
    <t xml:space="preserve">Annie Sloan </t>
  </si>
  <si>
    <t xml:space="preserve">henry.stevenson@outlook.com </t>
  </si>
  <si>
    <t>Henry Stevenson</t>
  </si>
  <si>
    <t>lexie.mansfield@gmail.com</t>
  </si>
  <si>
    <t>Redwwharton@gmail.com</t>
  </si>
  <si>
    <t>Ed Rivera</t>
  </si>
  <si>
    <t xml:space="preserve">Lexie Mansfield </t>
  </si>
  <si>
    <t>fitzsimmons.ellie@gmail.com</t>
  </si>
  <si>
    <t>sfledbaum@gmail.com</t>
  </si>
  <si>
    <t xml:space="preserve">Sam Feldbaum </t>
  </si>
  <si>
    <t>Ellie Fitzsimmons</t>
  </si>
  <si>
    <t>john.connor.smyth@gmail.com</t>
  </si>
  <si>
    <t>jfeldbaum@gmail.com</t>
  </si>
  <si>
    <t>Julia Feldbaum</t>
  </si>
  <si>
    <t>Conor Smyth</t>
  </si>
  <si>
    <t>druck23@gmail.com</t>
  </si>
  <si>
    <t>ali.magaziner@gmail.com</t>
  </si>
  <si>
    <t>Ali Magaziner</t>
  </si>
  <si>
    <t xml:space="preserve">Josh Druck </t>
  </si>
  <si>
    <t>lawson.naji@gmail.com</t>
  </si>
  <si>
    <t>sarah.magaziner@gmail.com</t>
  </si>
  <si>
    <t>Sarah Magaziner</t>
  </si>
  <si>
    <t xml:space="preserve">Naji Lawson </t>
  </si>
  <si>
    <t>ezavala1219@gmail.com</t>
  </si>
  <si>
    <t xml:space="preserve">Elisa Zavala </t>
  </si>
  <si>
    <t xml:space="preserve">Matt Elliott </t>
  </si>
  <si>
    <t>ctvankote@gmail.com</t>
  </si>
  <si>
    <t>Camille Van Kote</t>
  </si>
  <si>
    <t xml:space="preserve">Joel Schott </t>
  </si>
  <si>
    <t>korythibeault@gmail.com</t>
  </si>
  <si>
    <t>Kory Thibeault</t>
  </si>
  <si>
    <t>Joe Hafner</t>
  </si>
  <si>
    <t xml:space="preserve">Stephen Guellarte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</si>
</sst>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:mm am/pm"/>
    <numFmt numFmtId="165" formatCode="&quot;$&quot;#,##0.00"/>
  </numFmts>
  <fonts count="17">
    <font>
      <sz val="10.0"/>
      <color rgb="FF000000"/>
      <name val="Arial"/>
      <scheme val="minor"/>
    </font>
    <font>
      <b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color theme="1"/>
      <name val="Arial"/>
    </font>
    <font>
      <color rgb="FF222222"/>
      <name val="Arial"/>
    </font>
    <font>
      <b/>
      <sz val="11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rgb="FF000000"/>
      <name val="Calibri"/>
    </font>
    <font>
      <sz val="12.0"/>
      <color rgb="FF000000"/>
      <name val="Calibri"/>
    </font>
    <font>
      <sz val="10.0"/>
      <color rgb="FF000000"/>
      <name val="Arial"/>
    </font>
    <font>
      <sz val="10.0"/>
      <color theme="1"/>
      <name val="Arial"/>
    </font>
    <font>
      <b/>
      <sz val="10.0"/>
      <color rgb="FF000000"/>
      <name val="Arial"/>
    </font>
    <font>
      <u/>
      <sz val="10.0"/>
      <color rgb="FF000000"/>
      <name val="Arial"/>
    </font>
    <font>
      <u/>
      <sz val="10.0"/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</fills>
  <borders count="1">
    <border/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readingOrder="0" shrinkToFit="0" wrapText="1"/>
    </xf>
    <xf borderId="0" fillId="3" fontId="2" numFmtId="0" xfId="0" applyAlignment="1" applyFill="1" applyFont="1">
      <alignment horizontal="center"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readingOrder="0"/>
    </xf>
    <xf borderId="0" fillId="4" fontId="2" numFmtId="0" xfId="0" applyAlignment="1" applyFill="1" applyFont="1">
      <alignment horizontal="center" readingOrder="0"/>
    </xf>
    <xf borderId="0" fillId="4" fontId="3" numFmtId="0" xfId="0" applyFont="1"/>
    <xf borderId="0" fillId="5" fontId="2" numFmtId="0" xfId="0" applyAlignment="1" applyFill="1" applyFont="1">
      <alignment horizontal="center" readingOrder="0"/>
    </xf>
    <xf borderId="0" fillId="0" fontId="3" numFmtId="0" xfId="0" applyAlignment="1" applyFont="1">
      <alignment shrinkToFit="0" wrapText="1"/>
    </xf>
    <xf borderId="0" fillId="6" fontId="2" numFmtId="0" xfId="0" applyAlignment="1" applyFill="1" applyFont="1">
      <alignment horizontal="center" readingOrder="0"/>
    </xf>
    <xf borderId="0" fillId="0" fontId="3" numFmtId="164" xfId="0" applyAlignment="1" applyFont="1" applyNumberFormat="1">
      <alignment readingOrder="0"/>
    </xf>
    <xf borderId="0" fillId="7" fontId="2" numFmtId="0" xfId="0" applyAlignment="1" applyFill="1" applyFont="1">
      <alignment horizontal="center" readingOrder="0"/>
    </xf>
    <xf borderId="0" fillId="8" fontId="2" numFmtId="0" xfId="0" applyAlignment="1" applyFill="1" applyFont="1">
      <alignment horizontal="center" readingOrder="0"/>
    </xf>
    <xf borderId="0" fillId="0" fontId="3" numFmtId="0" xfId="0" applyAlignment="1" applyFont="1">
      <alignment horizontal="right" readingOrder="0"/>
    </xf>
    <xf borderId="0" fillId="0" fontId="3" numFmtId="164" xfId="0" applyAlignment="1" applyFont="1" applyNumberFormat="1">
      <alignment horizontal="right" readingOrder="0"/>
    </xf>
    <xf borderId="0" fillId="0" fontId="3" numFmtId="0" xfId="0" applyAlignment="1" applyFont="1">
      <alignment readingOrder="0"/>
    </xf>
    <xf borderId="0" fillId="9" fontId="2" numFmtId="0" xfId="0" applyAlignment="1" applyFill="1" applyFont="1">
      <alignment horizontal="center" readingOrder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4" fontId="6" numFmtId="0" xfId="0" applyAlignment="1" applyFont="1">
      <alignment vertical="bottom"/>
    </xf>
    <xf borderId="0" fillId="4" fontId="6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vertical="bottom"/>
    </xf>
    <xf borderId="0" fillId="0" fontId="5" numFmtId="165" xfId="0" applyAlignment="1" applyFont="1" applyNumberFormat="1">
      <alignment horizontal="right" vertical="bottom"/>
    </xf>
    <xf borderId="0" fillId="0" fontId="3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7" numFmtId="0" xfId="0" applyAlignment="1" applyFont="1">
      <alignment readingOrder="0"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9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8" numFmtId="0" xfId="0" applyAlignment="1" applyFont="1">
      <alignment shrinkToFit="0" vertical="bottom" wrapText="0"/>
    </xf>
    <xf borderId="0" fillId="0" fontId="10" numFmtId="0" xfId="0" applyAlignment="1" applyFont="1">
      <alignment readingOrder="0" shrinkToFit="0" vertical="bottom" wrapText="0"/>
    </xf>
    <xf borderId="0" fillId="0" fontId="11" numFmtId="0" xfId="0" applyAlignment="1" applyFont="1">
      <alignment readingOrder="0" shrinkToFit="0" vertical="bottom" wrapText="0"/>
    </xf>
    <xf borderId="0" fillId="0" fontId="11" numFmtId="0" xfId="0" applyAlignment="1" applyFont="1">
      <alignment shrinkToFit="0" vertical="bottom" wrapText="0"/>
    </xf>
    <xf borderId="0" fillId="0" fontId="12" numFmtId="0" xfId="0" applyAlignment="1" applyFont="1">
      <alignment readingOrder="0" shrinkToFit="0" vertical="bottom" wrapText="0"/>
    </xf>
    <xf borderId="0" fillId="0" fontId="13" numFmtId="0" xfId="0" applyAlignment="1" applyFont="1">
      <alignment readingOrder="0"/>
    </xf>
    <xf borderId="0" fillId="0" fontId="13" numFmtId="0" xfId="0" applyFont="1"/>
    <xf borderId="0" fillId="0" fontId="12" numFmtId="0" xfId="0" applyAlignment="1" applyFont="1">
      <alignment shrinkToFit="0" vertical="bottom" wrapText="0"/>
    </xf>
    <xf borderId="0" fillId="0" fontId="12" numFmtId="0" xfId="0" applyAlignment="1" applyFont="1">
      <alignment readingOrder="0" vertical="bottom"/>
    </xf>
    <xf borderId="0" fillId="0" fontId="14" numFmtId="0" xfId="0" applyAlignment="1" applyFont="1">
      <alignment vertical="bottom"/>
    </xf>
    <xf borderId="0" fillId="0" fontId="12" numFmtId="3" xfId="0" applyAlignment="1" applyFont="1" applyNumberFormat="1">
      <alignment horizontal="right" readingOrder="0" vertical="bottom"/>
    </xf>
    <xf borderId="0" fillId="0" fontId="15" numFmtId="0" xfId="0" applyAlignment="1" applyFont="1">
      <alignment readingOrder="0" shrinkToFit="0" vertical="bottom" wrapText="0"/>
    </xf>
    <xf borderId="0" fillId="0" fontId="12" numFmtId="0" xfId="0" applyFont="1"/>
    <xf borderId="0" fillId="0" fontId="12" numFmtId="0" xfId="0" applyAlignment="1" applyFont="1">
      <alignment readingOrder="0"/>
    </xf>
    <xf borderId="0" fillId="4" fontId="12" numFmtId="0" xfId="0" applyAlignment="1" applyFont="1">
      <alignment readingOrder="0"/>
    </xf>
    <xf borderId="0" fillId="0" fontId="1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Hannah McClelland" id="{9b699aed-37cc-4bec-97e2-04c1a8fc71c6}" providerId="google-sheets"/>
  <x18tc:person displayName="argiannico91@gmail.com" id="{0c7c2272-9a9c-408c-9065-3dad71127118}" userId="argiannico91@gmail.com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2-04T13:57:54.00" personId="{9b699aed-37cc-4bec-97e2-04c1a8fc71c6}" id="{4e8eebc4-0119-4cb0-8045-ece2a2b438c8}" done="1">
    <x18tc:text xml:space="preserve">@argiannico91@gmail.com can you update the spelling of their names and add email addresses?</x18tc:text>
    <x18tc:mentions>
      <x18tc:mention mentionpersonId="{0c7c2272-9a9c-408c-9065-3dad71127118}" mentionId="{b72fc7a8-bd23-4016-bed0-07bfc8dfea17}" startIndex="0" length="23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share.google/gh8ubmQfvQo8z111V" TargetMode="External"/><Relationship Id="rId5" Type="http://schemas.openxmlformats.org/officeDocument/2006/relationships/hyperlink" Target="https://honeynails.zenoti.com/webstoreNew/services/407de5b2-7684-441e-ad77-bfdff65fe314" TargetMode="External"/><Relationship Id="rId6" Type="http://schemas.openxmlformats.org/officeDocument/2006/relationships/hyperlink" Target="https://www.parkdelibk.com/collections/flowers?srsltid=AfmBOooPb_hvBdmB5Ro2tmRedvVQ4BjORksqCBc4HJcgGhgNBSLCl9z9" TargetMode="External"/><Relationship Id="rId7" Type="http://schemas.openxmlformats.org/officeDocument/2006/relationships/drawing" Target="../drawings/drawing1.xml"/><Relationship Id="rId8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mazon.com/QuickSnap-Disposable-BluebirdSales-Microfiber-7033661/dp/B0CXYPVHZQ/ref=sr_1_2_sspa?crid=2Q7H2WU5CZQQW&amp;dib=eyJ2IjoiMSJ9.Xb5EH99RMHLhGlecEJ1b_vJZlVxbPIhP_tjjG1ndAeG-lCY7ZlILJ_jqXEuNOzVpKFoRtbRbfNKL9SDuhankldMIL2xgcqjfbtUKB_fuES3ufvmO8T7HBvMY3cqUIiu8W59Rzwz4skSLoDhaI9YHfP9IX_zG1Rc-_GGBvjkKHeddF5wTC-wvQ-9KrLg87Jo2tEfkVFw7T4OpyMf2qBIT5Ed8WhoTbKJ5-jmCZsU7TwU.M-wD6Md0SbKBLDv_4DsZb52RR0rC_eUqQyRuzgoLwvs&amp;dib_tag=se&amp;keywords=disposable%2Bcamera&amp;qid=1772997986&amp;sprefix=disposable%2B%2Caps%2C151&amp;sr=8-2-spons&amp;sp_csd=d2lkZ2V0TmFtZT1zcF9hdGY&amp;th=1" TargetMode="External"/><Relationship Id="rId2" Type="http://schemas.openxmlformats.org/officeDocument/2006/relationships/hyperlink" Target="https://www.laflorpizza.com/" TargetMode="External"/><Relationship Id="rId3" Type="http://schemas.openxmlformats.org/officeDocument/2006/relationships/hyperlink" Target="https://bathhousewilliamsburg.try.be/items/65ef5c7dcac46924d705e25a/book-day-pass-browse-prices" TargetMode="External"/><Relationship Id="rId4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mailto:sydjbyrd@icloud.com" TargetMode="External"/><Relationship Id="rId2" Type="http://schemas.openxmlformats.org/officeDocument/2006/relationships/hyperlink" Target="mailto:fitzsimmons.ellie@gmail.com" TargetMode="External"/><Relationship Id="rId3" Type="http://schemas.openxmlformats.org/officeDocument/2006/relationships/hyperlink" Target="mailto:john.connor.smyth@gmail.com" TargetMode="External"/><Relationship Id="rId4" Type="http://schemas.openxmlformats.org/officeDocument/2006/relationships/hyperlink" Target="mailto:jfeldbaum@gmail.com" TargetMode="External"/><Relationship Id="rId10" Type="http://schemas.openxmlformats.org/officeDocument/2006/relationships/drawing" Target="../drawings/drawing9.xml"/><Relationship Id="rId9" Type="http://schemas.openxmlformats.org/officeDocument/2006/relationships/hyperlink" Target="mailto:ezavala1219@gmail.com" TargetMode="External"/><Relationship Id="rId5" Type="http://schemas.openxmlformats.org/officeDocument/2006/relationships/hyperlink" Target="mailto:druck23@gmail.com" TargetMode="External"/><Relationship Id="rId6" Type="http://schemas.openxmlformats.org/officeDocument/2006/relationships/hyperlink" Target="mailto:ali.magaziner@gmail.com" TargetMode="External"/><Relationship Id="rId7" Type="http://schemas.openxmlformats.org/officeDocument/2006/relationships/hyperlink" Target="mailto:lawson.naji@gmail.com" TargetMode="External"/><Relationship Id="rId8" Type="http://schemas.openxmlformats.org/officeDocument/2006/relationships/hyperlink" Target="mailto:sarah.magazine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2" max="2" width="28.38"/>
    <col customWidth="1" min="3" max="3" width="44.0"/>
    <col customWidth="1" min="4" max="4" width="26.0"/>
    <col customWidth="1" min="5" max="5" width="24.7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>
      <c r="A2" s="3" t="s">
        <v>5</v>
      </c>
    </row>
    <row r="3">
      <c r="A3" s="4"/>
      <c r="B3" s="4" t="s">
        <v>6</v>
      </c>
      <c r="C3" s="5"/>
      <c r="D3" s="4"/>
    </row>
    <row r="4">
      <c r="A4" s="4"/>
      <c r="B4" s="4" t="s">
        <v>7</v>
      </c>
      <c r="C4" s="5" t="s">
        <v>8</v>
      </c>
      <c r="D4" s="4" t="s">
        <v>9</v>
      </c>
    </row>
    <row r="5">
      <c r="A5" s="4"/>
      <c r="B5" s="4" t="s">
        <v>10</v>
      </c>
      <c r="C5" s="5" t="s">
        <v>11</v>
      </c>
      <c r="D5" s="6" t="s">
        <v>12</v>
      </c>
    </row>
    <row r="6">
      <c r="A6" s="4"/>
      <c r="B6" s="4" t="s">
        <v>13</v>
      </c>
      <c r="C6" s="5" t="s">
        <v>14</v>
      </c>
      <c r="D6" s="6" t="s">
        <v>15</v>
      </c>
    </row>
    <row r="7">
      <c r="A7" s="7"/>
      <c r="B7" s="7"/>
      <c r="C7" s="7"/>
      <c r="D7" s="7"/>
      <c r="E7" s="7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>
      <c r="A8" s="9" t="s">
        <v>16</v>
      </c>
    </row>
    <row r="9">
      <c r="B9" s="4" t="s">
        <v>6</v>
      </c>
      <c r="C9" s="5"/>
      <c r="D9" s="4"/>
    </row>
    <row r="10">
      <c r="B10" s="4" t="s">
        <v>17</v>
      </c>
      <c r="C10" s="5" t="s">
        <v>18</v>
      </c>
      <c r="D10" s="4"/>
    </row>
    <row r="11">
      <c r="B11" s="4" t="s">
        <v>19</v>
      </c>
      <c r="C11" s="5" t="s">
        <v>20</v>
      </c>
      <c r="D11" s="4" t="s">
        <v>21</v>
      </c>
    </row>
    <row r="12">
      <c r="B12" s="4" t="s">
        <v>22</v>
      </c>
      <c r="C12" s="10"/>
      <c r="D12" s="4" t="s">
        <v>23</v>
      </c>
    </row>
    <row r="13">
      <c r="C13" s="10"/>
    </row>
    <row r="14">
      <c r="A14" s="11" t="s">
        <v>24</v>
      </c>
    </row>
    <row r="15">
      <c r="A15" s="4"/>
      <c r="B15" s="4" t="s">
        <v>6</v>
      </c>
      <c r="C15" s="5"/>
      <c r="D15" s="4"/>
    </row>
    <row r="16">
      <c r="A16" s="4"/>
      <c r="B16" s="4"/>
      <c r="C16" s="5"/>
      <c r="D16" s="4"/>
    </row>
    <row r="17">
      <c r="A17" s="4" t="s">
        <v>25</v>
      </c>
      <c r="B17" s="4" t="s">
        <v>26</v>
      </c>
      <c r="C17" s="5" t="s">
        <v>8</v>
      </c>
      <c r="D17" s="4" t="s">
        <v>27</v>
      </c>
    </row>
    <row r="18">
      <c r="B18" s="4"/>
      <c r="C18" s="5"/>
      <c r="D18" s="4"/>
    </row>
    <row r="19">
      <c r="A19" s="12">
        <v>0.5416666666666666</v>
      </c>
      <c r="B19" s="4" t="s">
        <v>28</v>
      </c>
      <c r="C19" s="5" t="s">
        <v>29</v>
      </c>
      <c r="D19" s="4" t="s">
        <v>30</v>
      </c>
    </row>
    <row r="20">
      <c r="A20" s="12"/>
      <c r="B20" s="4" t="s">
        <v>31</v>
      </c>
      <c r="C20" s="5"/>
      <c r="D20" s="4"/>
    </row>
    <row r="21">
      <c r="A21" s="12"/>
      <c r="B21" s="4" t="s">
        <v>32</v>
      </c>
      <c r="C21" s="5"/>
      <c r="D21" s="4"/>
    </row>
    <row r="22">
      <c r="A22" s="12">
        <v>0.625</v>
      </c>
      <c r="B22" s="4" t="s">
        <v>33</v>
      </c>
      <c r="C22" s="5" t="s">
        <v>29</v>
      </c>
      <c r="D22" s="4" t="s">
        <v>34</v>
      </c>
    </row>
    <row r="23">
      <c r="A23" s="12">
        <v>0.6666666666666666</v>
      </c>
      <c r="B23" s="4" t="s">
        <v>35</v>
      </c>
      <c r="C23" s="5" t="s">
        <v>36</v>
      </c>
      <c r="D23" s="4" t="s">
        <v>34</v>
      </c>
    </row>
    <row r="24">
      <c r="A24" s="12">
        <v>0.7916666666666666</v>
      </c>
      <c r="B24" s="4" t="s">
        <v>37</v>
      </c>
      <c r="C24" s="5" t="s">
        <v>38</v>
      </c>
      <c r="D24" s="4" t="s">
        <v>39</v>
      </c>
    </row>
    <row r="25">
      <c r="B25" s="4" t="s">
        <v>40</v>
      </c>
      <c r="C25" s="5" t="s">
        <v>41</v>
      </c>
      <c r="D25" s="4" t="s">
        <v>39</v>
      </c>
    </row>
    <row r="26">
      <c r="C26" s="10"/>
    </row>
    <row r="27">
      <c r="C27" s="10"/>
    </row>
    <row r="28">
      <c r="A28" s="13" t="s">
        <v>42</v>
      </c>
    </row>
    <row r="29">
      <c r="A29" s="14" t="s">
        <v>43</v>
      </c>
    </row>
    <row r="30">
      <c r="A30" s="15"/>
      <c r="B30" s="4" t="s">
        <v>44</v>
      </c>
      <c r="C30" s="5"/>
      <c r="D30" s="4"/>
    </row>
    <row r="31">
      <c r="A31" s="15" t="s">
        <v>45</v>
      </c>
      <c r="B31" s="4" t="s">
        <v>46</v>
      </c>
      <c r="C31" s="5" t="s">
        <v>11</v>
      </c>
      <c r="D31" s="4" t="s">
        <v>47</v>
      </c>
    </row>
    <row r="32">
      <c r="E32" s="4"/>
    </row>
    <row r="33">
      <c r="A33" s="12">
        <v>0.4583333333333333</v>
      </c>
      <c r="B33" s="4" t="s">
        <v>48</v>
      </c>
      <c r="C33" s="5" t="s">
        <v>36</v>
      </c>
      <c r="D33" s="4" t="s">
        <v>49</v>
      </c>
      <c r="E33" s="4"/>
    </row>
    <row r="34">
      <c r="A34" s="12">
        <v>0.5</v>
      </c>
      <c r="B34" s="4" t="s">
        <v>32</v>
      </c>
      <c r="C34" s="5" t="s">
        <v>50</v>
      </c>
      <c r="D34" s="6" t="s">
        <v>51</v>
      </c>
    </row>
    <row r="36">
      <c r="A36" s="12">
        <v>0.5</v>
      </c>
      <c r="B36" s="4" t="s">
        <v>52</v>
      </c>
      <c r="C36" s="5" t="s">
        <v>36</v>
      </c>
      <c r="D36" s="4" t="s">
        <v>49</v>
      </c>
      <c r="E36" s="4" t="s">
        <v>53</v>
      </c>
    </row>
    <row r="37">
      <c r="A37" s="12"/>
      <c r="B37" s="4"/>
      <c r="C37" s="5"/>
      <c r="D37" s="4"/>
    </row>
    <row r="38">
      <c r="A38" s="12">
        <v>0.625</v>
      </c>
      <c r="B38" s="4" t="s">
        <v>54</v>
      </c>
      <c r="C38" s="5"/>
      <c r="D38" s="4"/>
    </row>
    <row r="39">
      <c r="A39" s="12"/>
      <c r="B39" s="4"/>
      <c r="C39" s="5"/>
      <c r="D39" s="4"/>
    </row>
    <row r="40">
      <c r="A40" s="14" t="s">
        <v>55</v>
      </c>
    </row>
    <row r="41">
      <c r="A41" s="12">
        <v>0.625</v>
      </c>
      <c r="B41" s="4" t="s">
        <v>56</v>
      </c>
      <c r="C41" s="5" t="s">
        <v>57</v>
      </c>
      <c r="D41" s="4" t="s">
        <v>34</v>
      </c>
      <c r="E41" s="4" t="s">
        <v>53</v>
      </c>
    </row>
    <row r="42">
      <c r="A42" s="12">
        <v>0.625</v>
      </c>
      <c r="B42" s="4" t="s">
        <v>58</v>
      </c>
      <c r="C42" s="5" t="s">
        <v>59</v>
      </c>
      <c r="D42" s="4" t="s">
        <v>34</v>
      </c>
      <c r="E42" s="4" t="s">
        <v>53</v>
      </c>
    </row>
    <row r="43">
      <c r="A43" s="12">
        <v>0.6458333333333334</v>
      </c>
      <c r="B43" s="4" t="s">
        <v>60</v>
      </c>
      <c r="C43" s="5" t="s">
        <v>61</v>
      </c>
      <c r="D43" s="4" t="s">
        <v>34</v>
      </c>
      <c r="E43" s="4" t="s">
        <v>53</v>
      </c>
    </row>
    <row r="44">
      <c r="B44" s="4" t="s">
        <v>62</v>
      </c>
      <c r="C44" s="5" t="s">
        <v>63</v>
      </c>
    </row>
    <row r="45">
      <c r="B45" s="4" t="s">
        <v>64</v>
      </c>
      <c r="C45" s="5" t="s">
        <v>63</v>
      </c>
    </row>
    <row r="46">
      <c r="B46" s="4" t="s">
        <v>65</v>
      </c>
      <c r="C46" s="5" t="s">
        <v>66</v>
      </c>
    </row>
    <row r="47">
      <c r="B47" s="4" t="s">
        <v>67</v>
      </c>
      <c r="C47" s="5" t="s">
        <v>63</v>
      </c>
    </row>
    <row r="48">
      <c r="C48" s="10"/>
    </row>
    <row r="49">
      <c r="A49" s="14" t="s">
        <v>68</v>
      </c>
    </row>
    <row r="50">
      <c r="A50" s="12">
        <v>0.7083333333333334</v>
      </c>
      <c r="B50" s="4" t="s">
        <v>68</v>
      </c>
      <c r="C50" s="5" t="s">
        <v>69</v>
      </c>
      <c r="D50" s="4" t="s">
        <v>70</v>
      </c>
      <c r="E50" s="4" t="s">
        <v>53</v>
      </c>
    </row>
    <row r="51">
      <c r="B51" s="4"/>
      <c r="C51" s="10"/>
    </row>
    <row r="52">
      <c r="A52" s="15" t="s">
        <v>71</v>
      </c>
      <c r="B52" s="4" t="s">
        <v>72</v>
      </c>
      <c r="C52" s="5" t="s">
        <v>73</v>
      </c>
      <c r="D52" s="4" t="s">
        <v>70</v>
      </c>
      <c r="E52" s="4" t="s">
        <v>74</v>
      </c>
    </row>
    <row r="53">
      <c r="C53" s="10"/>
    </row>
    <row r="54">
      <c r="A54" s="12">
        <v>0.8541666666666666</v>
      </c>
      <c r="B54" s="4" t="s">
        <v>75</v>
      </c>
      <c r="C54" s="5" t="s">
        <v>76</v>
      </c>
      <c r="D54" s="4" t="s">
        <v>70</v>
      </c>
      <c r="E54" s="4" t="s">
        <v>74</v>
      </c>
    </row>
    <row r="55">
      <c r="A55" s="12">
        <v>0.875</v>
      </c>
      <c r="B55" s="4" t="s">
        <v>77</v>
      </c>
      <c r="C55" s="5" t="s">
        <v>78</v>
      </c>
      <c r="D55" s="4" t="s">
        <v>70</v>
      </c>
      <c r="E55" s="4" t="s">
        <v>74</v>
      </c>
    </row>
    <row r="56">
      <c r="C56" s="10"/>
    </row>
    <row r="57">
      <c r="A57" s="12">
        <v>0.0</v>
      </c>
      <c r="B57" s="4" t="s">
        <v>79</v>
      </c>
      <c r="C57" s="5" t="s">
        <v>61</v>
      </c>
      <c r="D57" s="4" t="s">
        <v>70</v>
      </c>
    </row>
    <row r="58">
      <c r="A58" s="12">
        <v>0.010416666666666666</v>
      </c>
      <c r="B58" s="4" t="s">
        <v>80</v>
      </c>
      <c r="C58" s="5" t="s">
        <v>81</v>
      </c>
      <c r="D58" s="4" t="s">
        <v>70</v>
      </c>
    </row>
    <row r="59">
      <c r="A59" s="15"/>
      <c r="B59" s="4"/>
      <c r="C59" s="10"/>
      <c r="D59" s="4"/>
    </row>
    <row r="60">
      <c r="A60" s="14" t="s">
        <v>82</v>
      </c>
    </row>
    <row r="61">
      <c r="A61" s="15" t="s">
        <v>83</v>
      </c>
      <c r="B61" s="4" t="s">
        <v>84</v>
      </c>
      <c r="C61" s="5" t="s">
        <v>85</v>
      </c>
      <c r="D61" s="4" t="s">
        <v>27</v>
      </c>
    </row>
    <row r="63">
      <c r="A63" s="15"/>
      <c r="B63" s="4" t="s">
        <v>86</v>
      </c>
      <c r="C63" s="10"/>
      <c r="D63" s="4"/>
    </row>
    <row r="64">
      <c r="A64" s="15"/>
      <c r="B64" s="4" t="s">
        <v>87</v>
      </c>
      <c r="C64" s="10"/>
      <c r="D64" s="4"/>
    </row>
    <row r="65">
      <c r="A65" s="15"/>
      <c r="B65" s="4" t="s">
        <v>88</v>
      </c>
      <c r="C65" s="10"/>
      <c r="D65" s="4"/>
    </row>
    <row r="66">
      <c r="A66" s="15"/>
      <c r="B66" s="4" t="s">
        <v>89</v>
      </c>
      <c r="C66" s="10"/>
      <c r="D66" s="4"/>
    </row>
    <row r="67">
      <c r="A67" s="15"/>
      <c r="B67" s="4"/>
      <c r="C67" s="10"/>
      <c r="D67" s="4"/>
    </row>
    <row r="68">
      <c r="A68" s="15" t="s">
        <v>90</v>
      </c>
      <c r="B68" s="4" t="s">
        <v>91</v>
      </c>
      <c r="C68" s="5" t="s">
        <v>92</v>
      </c>
      <c r="D68" s="4" t="s">
        <v>27</v>
      </c>
      <c r="E68" s="4" t="s">
        <v>93</v>
      </c>
    </row>
    <row r="69">
      <c r="B69" s="4" t="s">
        <v>94</v>
      </c>
      <c r="C69" s="5" t="s">
        <v>95</v>
      </c>
    </row>
    <row r="70">
      <c r="B70" s="4" t="s">
        <v>96</v>
      </c>
      <c r="C70" s="5"/>
    </row>
    <row r="71">
      <c r="A71" s="16">
        <v>0.041666666666666664</v>
      </c>
      <c r="B71" s="4" t="s">
        <v>97</v>
      </c>
      <c r="C71" s="10"/>
      <c r="D71" s="17" t="s">
        <v>98</v>
      </c>
    </row>
    <row r="72">
      <c r="A72" s="16"/>
      <c r="B72" s="4"/>
      <c r="C72" s="10"/>
      <c r="D72" s="17"/>
    </row>
    <row r="73">
      <c r="A73" s="18" t="s">
        <v>99</v>
      </c>
    </row>
    <row r="74">
      <c r="A74" s="15" t="s">
        <v>100</v>
      </c>
      <c r="B74" s="4" t="s">
        <v>101</v>
      </c>
      <c r="C74" s="10"/>
      <c r="D74" s="4" t="s">
        <v>102</v>
      </c>
    </row>
    <row r="75">
      <c r="C75" s="10"/>
    </row>
    <row r="76">
      <c r="C76" s="10"/>
    </row>
    <row r="77">
      <c r="C77" s="10"/>
    </row>
    <row r="78">
      <c r="C78" s="10"/>
    </row>
    <row r="79">
      <c r="C79" s="10"/>
    </row>
    <row r="80">
      <c r="C80" s="10"/>
    </row>
    <row r="81">
      <c r="C81" s="10"/>
    </row>
    <row r="82">
      <c r="C82" s="10"/>
    </row>
    <row r="83">
      <c r="C83" s="10"/>
    </row>
    <row r="84">
      <c r="C84" s="10"/>
    </row>
    <row r="85">
      <c r="C85" s="10"/>
    </row>
    <row r="86">
      <c r="C86" s="10"/>
    </row>
    <row r="87">
      <c r="C87" s="10"/>
    </row>
    <row r="88">
      <c r="C88" s="10"/>
    </row>
    <row r="89">
      <c r="C89" s="10"/>
    </row>
    <row r="90">
      <c r="C90" s="10"/>
    </row>
    <row r="91">
      <c r="C91" s="10"/>
    </row>
    <row r="92">
      <c r="C92" s="10"/>
    </row>
    <row r="93">
      <c r="C93" s="10"/>
    </row>
    <row r="94">
      <c r="C94" s="10"/>
    </row>
    <row r="95">
      <c r="C95" s="10"/>
    </row>
    <row r="96">
      <c r="C96" s="10"/>
    </row>
    <row r="97">
      <c r="C97" s="10"/>
    </row>
    <row r="98">
      <c r="C98" s="10"/>
    </row>
    <row r="99">
      <c r="C99" s="10"/>
    </row>
    <row r="100">
      <c r="C100" s="10"/>
    </row>
    <row r="101">
      <c r="C101" s="10"/>
    </row>
    <row r="102">
      <c r="C102" s="10"/>
    </row>
    <row r="103">
      <c r="C103" s="10"/>
    </row>
    <row r="104">
      <c r="C104" s="10"/>
    </row>
    <row r="105">
      <c r="C105" s="10"/>
    </row>
    <row r="106">
      <c r="C106" s="10"/>
    </row>
    <row r="107">
      <c r="C107" s="10"/>
    </row>
    <row r="108">
      <c r="C108" s="10"/>
    </row>
    <row r="109">
      <c r="C109" s="10"/>
    </row>
    <row r="110">
      <c r="C110" s="10"/>
    </row>
    <row r="111">
      <c r="C111" s="10"/>
    </row>
    <row r="112">
      <c r="C112" s="10"/>
    </row>
    <row r="113">
      <c r="C113" s="10"/>
    </row>
    <row r="114">
      <c r="C114" s="10"/>
    </row>
    <row r="115">
      <c r="C115" s="10"/>
    </row>
    <row r="116">
      <c r="C116" s="10"/>
    </row>
    <row r="117">
      <c r="C117" s="10"/>
    </row>
    <row r="118">
      <c r="C118" s="10"/>
    </row>
    <row r="119">
      <c r="C119" s="10"/>
    </row>
    <row r="120">
      <c r="C120" s="10"/>
    </row>
    <row r="121">
      <c r="C121" s="10"/>
    </row>
    <row r="122">
      <c r="C122" s="10"/>
    </row>
    <row r="123">
      <c r="C123" s="10"/>
    </row>
    <row r="124">
      <c r="C124" s="10"/>
    </row>
    <row r="125">
      <c r="C125" s="10"/>
    </row>
    <row r="126">
      <c r="C126" s="10"/>
    </row>
    <row r="127">
      <c r="C127" s="10"/>
    </row>
    <row r="128">
      <c r="C128" s="10"/>
    </row>
    <row r="129">
      <c r="C129" s="10"/>
    </row>
    <row r="130">
      <c r="C130" s="10"/>
    </row>
    <row r="131">
      <c r="C131" s="10"/>
    </row>
    <row r="132">
      <c r="C132" s="10"/>
    </row>
    <row r="133">
      <c r="C133" s="10"/>
    </row>
    <row r="134">
      <c r="C134" s="10"/>
    </row>
    <row r="135">
      <c r="C135" s="10"/>
    </row>
    <row r="136">
      <c r="C136" s="10"/>
    </row>
    <row r="137">
      <c r="C137" s="10"/>
    </row>
    <row r="138">
      <c r="C138" s="10"/>
    </row>
    <row r="139">
      <c r="C139" s="10"/>
    </row>
    <row r="140">
      <c r="C140" s="10"/>
    </row>
    <row r="141">
      <c r="C141" s="10"/>
    </row>
    <row r="142">
      <c r="C142" s="10"/>
    </row>
    <row r="143">
      <c r="C143" s="10"/>
    </row>
    <row r="144">
      <c r="C144" s="10"/>
    </row>
    <row r="145">
      <c r="C145" s="10"/>
    </row>
    <row r="146">
      <c r="C146" s="10"/>
    </row>
    <row r="147">
      <c r="C147" s="10"/>
    </row>
    <row r="148">
      <c r="C148" s="10"/>
    </row>
    <row r="149">
      <c r="C149" s="10"/>
    </row>
    <row r="150">
      <c r="C150" s="10"/>
    </row>
    <row r="151">
      <c r="C151" s="10"/>
    </row>
    <row r="152">
      <c r="C152" s="10"/>
    </row>
    <row r="153">
      <c r="C153" s="10"/>
    </row>
    <row r="154">
      <c r="C154" s="10"/>
    </row>
    <row r="155">
      <c r="C155" s="10"/>
    </row>
    <row r="156">
      <c r="C156" s="10"/>
    </row>
    <row r="157">
      <c r="C157" s="10"/>
    </row>
    <row r="158">
      <c r="C158" s="10"/>
    </row>
    <row r="159">
      <c r="C159" s="10"/>
    </row>
    <row r="160">
      <c r="C160" s="10"/>
    </row>
    <row r="161">
      <c r="C161" s="10"/>
    </row>
    <row r="162">
      <c r="C162" s="10"/>
    </row>
    <row r="163">
      <c r="C163" s="10"/>
    </row>
    <row r="164">
      <c r="C164" s="10"/>
    </row>
    <row r="165">
      <c r="C165" s="10"/>
    </row>
    <row r="166">
      <c r="C166" s="10"/>
    </row>
    <row r="167">
      <c r="C167" s="10"/>
    </row>
    <row r="168">
      <c r="C168" s="10"/>
    </row>
    <row r="169">
      <c r="C169" s="10"/>
    </row>
    <row r="170">
      <c r="C170" s="10"/>
    </row>
    <row r="171">
      <c r="C171" s="10"/>
    </row>
    <row r="172">
      <c r="C172" s="10"/>
    </row>
    <row r="173">
      <c r="C173" s="10"/>
    </row>
    <row r="174">
      <c r="C174" s="10"/>
    </row>
    <row r="175">
      <c r="C175" s="10"/>
    </row>
    <row r="176">
      <c r="C176" s="10"/>
    </row>
    <row r="177">
      <c r="C177" s="10"/>
    </row>
    <row r="178">
      <c r="C178" s="10"/>
    </row>
    <row r="179">
      <c r="C179" s="10"/>
    </row>
    <row r="180">
      <c r="C180" s="10"/>
    </row>
    <row r="181">
      <c r="C181" s="10"/>
    </row>
    <row r="182">
      <c r="C182" s="10"/>
    </row>
    <row r="183">
      <c r="C183" s="10"/>
    </row>
    <row r="184">
      <c r="C184" s="10"/>
    </row>
    <row r="185">
      <c r="C185" s="10"/>
    </row>
    <row r="186">
      <c r="C186" s="10"/>
    </row>
    <row r="187">
      <c r="C187" s="10"/>
    </row>
    <row r="188">
      <c r="C188" s="10"/>
    </row>
    <row r="189">
      <c r="C189" s="10"/>
    </row>
    <row r="190">
      <c r="C190" s="10"/>
    </row>
    <row r="191">
      <c r="C191" s="10"/>
    </row>
    <row r="192">
      <c r="C192" s="10"/>
    </row>
    <row r="193">
      <c r="C193" s="10"/>
    </row>
    <row r="194">
      <c r="C194" s="10"/>
    </row>
    <row r="195">
      <c r="C195" s="10"/>
    </row>
    <row r="196">
      <c r="C196" s="10"/>
    </row>
    <row r="197">
      <c r="C197" s="10"/>
    </row>
    <row r="198">
      <c r="C198" s="10"/>
    </row>
    <row r="199">
      <c r="C199" s="10"/>
    </row>
    <row r="200">
      <c r="C200" s="10"/>
    </row>
    <row r="201">
      <c r="C201" s="10"/>
    </row>
    <row r="202">
      <c r="C202" s="10"/>
    </row>
    <row r="203">
      <c r="C203" s="10"/>
    </row>
    <row r="204">
      <c r="C204" s="10"/>
    </row>
    <row r="205">
      <c r="C205" s="10"/>
    </row>
    <row r="206">
      <c r="C206" s="10"/>
    </row>
    <row r="207">
      <c r="C207" s="10"/>
    </row>
    <row r="208">
      <c r="C208" s="10"/>
    </row>
    <row r="209">
      <c r="C209" s="10"/>
    </row>
    <row r="210">
      <c r="C210" s="10"/>
    </row>
    <row r="211">
      <c r="C211" s="10"/>
    </row>
    <row r="212">
      <c r="C212" s="10"/>
    </row>
    <row r="213">
      <c r="C213" s="10"/>
    </row>
    <row r="214">
      <c r="C214" s="10"/>
    </row>
    <row r="215">
      <c r="C215" s="10"/>
    </row>
    <row r="216">
      <c r="C216" s="10"/>
    </row>
    <row r="217">
      <c r="C217" s="10"/>
    </row>
    <row r="218">
      <c r="C218" s="10"/>
    </row>
    <row r="219">
      <c r="C219" s="10"/>
    </row>
    <row r="220">
      <c r="C220" s="10"/>
    </row>
    <row r="221">
      <c r="C221" s="10"/>
    </row>
    <row r="222">
      <c r="C222" s="10"/>
    </row>
    <row r="223">
      <c r="C223" s="10"/>
    </row>
    <row r="224">
      <c r="C224" s="10"/>
    </row>
    <row r="225">
      <c r="C225" s="10"/>
    </row>
    <row r="226">
      <c r="C226" s="10"/>
    </row>
    <row r="227">
      <c r="C227" s="10"/>
    </row>
    <row r="228">
      <c r="C228" s="10"/>
    </row>
    <row r="229">
      <c r="C229" s="10"/>
    </row>
    <row r="230">
      <c r="C230" s="10"/>
    </row>
    <row r="231">
      <c r="C231" s="10"/>
    </row>
    <row r="232">
      <c r="C232" s="10"/>
    </row>
    <row r="233">
      <c r="C233" s="10"/>
    </row>
    <row r="234">
      <c r="C234" s="10"/>
    </row>
    <row r="235">
      <c r="C235" s="10"/>
    </row>
    <row r="236">
      <c r="C236" s="10"/>
    </row>
    <row r="237">
      <c r="C237" s="10"/>
    </row>
    <row r="238">
      <c r="C238" s="10"/>
    </row>
    <row r="239">
      <c r="C239" s="10"/>
    </row>
    <row r="240">
      <c r="C240" s="10"/>
    </row>
    <row r="241">
      <c r="C241" s="10"/>
    </row>
    <row r="242">
      <c r="C242" s="10"/>
    </row>
    <row r="243">
      <c r="C243" s="10"/>
    </row>
    <row r="244">
      <c r="C244" s="10"/>
    </row>
    <row r="245">
      <c r="C245" s="10"/>
    </row>
    <row r="246">
      <c r="C246" s="10"/>
    </row>
    <row r="247">
      <c r="C247" s="10"/>
    </row>
    <row r="248">
      <c r="C248" s="10"/>
    </row>
    <row r="249">
      <c r="C249" s="10"/>
    </row>
    <row r="250">
      <c r="C250" s="10"/>
    </row>
    <row r="251">
      <c r="C251" s="10"/>
    </row>
    <row r="252">
      <c r="C252" s="10"/>
    </row>
    <row r="253">
      <c r="C253" s="10"/>
    </row>
    <row r="254">
      <c r="C254" s="10"/>
    </row>
    <row r="255">
      <c r="C255" s="10"/>
    </row>
    <row r="256">
      <c r="C256" s="10"/>
    </row>
    <row r="257">
      <c r="C257" s="10"/>
    </row>
    <row r="258">
      <c r="C258" s="10"/>
    </row>
    <row r="259">
      <c r="C259" s="10"/>
    </row>
    <row r="260">
      <c r="C260" s="10"/>
    </row>
    <row r="261">
      <c r="C261" s="10"/>
    </row>
    <row r="262">
      <c r="C262" s="10"/>
    </row>
    <row r="263">
      <c r="C263" s="10"/>
    </row>
    <row r="264">
      <c r="C264" s="10"/>
    </row>
    <row r="265">
      <c r="C265" s="10"/>
    </row>
    <row r="266">
      <c r="C266" s="10"/>
    </row>
    <row r="267">
      <c r="C267" s="10"/>
    </row>
    <row r="268">
      <c r="C268" s="10"/>
    </row>
    <row r="269">
      <c r="C269" s="10"/>
    </row>
    <row r="270">
      <c r="C270" s="10"/>
    </row>
    <row r="271">
      <c r="C271" s="10"/>
    </row>
    <row r="272">
      <c r="C272" s="10"/>
    </row>
    <row r="273">
      <c r="C273" s="10"/>
    </row>
    <row r="274">
      <c r="C274" s="10"/>
    </row>
    <row r="275">
      <c r="C275" s="10"/>
    </row>
    <row r="276">
      <c r="C276" s="10"/>
    </row>
    <row r="277">
      <c r="C277" s="10"/>
    </row>
    <row r="278">
      <c r="C278" s="10"/>
    </row>
    <row r="279">
      <c r="C279" s="10"/>
    </row>
    <row r="280">
      <c r="C280" s="10"/>
    </row>
    <row r="281">
      <c r="C281" s="10"/>
    </row>
    <row r="282">
      <c r="C282" s="10"/>
    </row>
    <row r="283">
      <c r="C283" s="10"/>
    </row>
    <row r="284">
      <c r="C284" s="10"/>
    </row>
    <row r="285">
      <c r="C285" s="10"/>
    </row>
    <row r="286">
      <c r="C286" s="10"/>
    </row>
    <row r="287">
      <c r="C287" s="10"/>
    </row>
    <row r="288">
      <c r="C288" s="10"/>
    </row>
    <row r="289">
      <c r="C289" s="10"/>
    </row>
    <row r="290">
      <c r="C290" s="10"/>
    </row>
    <row r="291">
      <c r="C291" s="10"/>
    </row>
    <row r="292">
      <c r="C292" s="10"/>
    </row>
    <row r="293">
      <c r="C293" s="10"/>
    </row>
    <row r="294">
      <c r="C294" s="10"/>
    </row>
    <row r="295">
      <c r="C295" s="10"/>
    </row>
    <row r="296">
      <c r="C296" s="10"/>
    </row>
    <row r="297">
      <c r="C297" s="10"/>
    </row>
    <row r="298">
      <c r="C298" s="10"/>
    </row>
    <row r="299">
      <c r="C299" s="10"/>
    </row>
    <row r="300">
      <c r="C300" s="10"/>
    </row>
    <row r="301">
      <c r="C301" s="10"/>
    </row>
    <row r="302">
      <c r="C302" s="10"/>
    </row>
    <row r="303">
      <c r="C303" s="10"/>
    </row>
    <row r="304">
      <c r="C304" s="10"/>
    </row>
    <row r="305">
      <c r="C305" s="10"/>
    </row>
    <row r="306">
      <c r="C306" s="10"/>
    </row>
    <row r="307">
      <c r="C307" s="10"/>
    </row>
    <row r="308">
      <c r="C308" s="10"/>
    </row>
    <row r="309">
      <c r="C309" s="10"/>
    </row>
    <row r="310">
      <c r="C310" s="10"/>
    </row>
    <row r="311">
      <c r="C311" s="10"/>
    </row>
    <row r="312">
      <c r="C312" s="10"/>
    </row>
    <row r="313">
      <c r="C313" s="10"/>
    </row>
    <row r="314">
      <c r="C314" s="10"/>
    </row>
    <row r="315">
      <c r="C315" s="10"/>
    </row>
    <row r="316">
      <c r="C316" s="10"/>
    </row>
    <row r="317">
      <c r="C317" s="10"/>
    </row>
    <row r="318">
      <c r="C318" s="10"/>
    </row>
    <row r="319">
      <c r="C319" s="10"/>
    </row>
    <row r="320">
      <c r="C320" s="10"/>
    </row>
    <row r="321">
      <c r="C321" s="10"/>
    </row>
    <row r="322">
      <c r="C322" s="10"/>
    </row>
    <row r="323">
      <c r="C323" s="10"/>
    </row>
    <row r="324">
      <c r="C324" s="10"/>
    </row>
    <row r="325">
      <c r="C325" s="10"/>
    </row>
    <row r="326">
      <c r="C326" s="10"/>
    </row>
    <row r="327">
      <c r="C327" s="10"/>
    </row>
    <row r="328">
      <c r="C328" s="10"/>
    </row>
    <row r="329">
      <c r="C329" s="10"/>
    </row>
    <row r="330">
      <c r="C330" s="10"/>
    </row>
    <row r="331">
      <c r="C331" s="10"/>
    </row>
    <row r="332">
      <c r="C332" s="10"/>
    </row>
    <row r="333">
      <c r="C333" s="10"/>
    </row>
    <row r="334">
      <c r="C334" s="10"/>
    </row>
    <row r="335">
      <c r="C335" s="10"/>
    </row>
    <row r="336">
      <c r="C336" s="10"/>
    </row>
    <row r="337">
      <c r="C337" s="10"/>
    </row>
    <row r="338">
      <c r="C338" s="10"/>
    </row>
    <row r="339">
      <c r="C339" s="10"/>
    </row>
    <row r="340">
      <c r="C340" s="10"/>
    </row>
    <row r="341">
      <c r="C341" s="10"/>
    </row>
    <row r="342">
      <c r="C342" s="10"/>
    </row>
    <row r="343">
      <c r="C343" s="10"/>
    </row>
    <row r="344">
      <c r="C344" s="10"/>
    </row>
    <row r="345">
      <c r="C345" s="10"/>
    </row>
    <row r="346">
      <c r="C346" s="10"/>
    </row>
    <row r="347">
      <c r="C347" s="10"/>
    </row>
    <row r="348">
      <c r="C348" s="10"/>
    </row>
    <row r="349">
      <c r="C349" s="10"/>
    </row>
    <row r="350">
      <c r="C350" s="10"/>
    </row>
    <row r="351">
      <c r="C351" s="10"/>
    </row>
    <row r="352">
      <c r="C352" s="10"/>
    </row>
    <row r="353">
      <c r="C353" s="10"/>
    </row>
    <row r="354">
      <c r="C354" s="10"/>
    </row>
    <row r="355">
      <c r="C355" s="10"/>
    </row>
    <row r="356">
      <c r="C356" s="10"/>
    </row>
    <row r="357">
      <c r="C357" s="10"/>
    </row>
    <row r="358">
      <c r="C358" s="10"/>
    </row>
    <row r="359">
      <c r="C359" s="10"/>
    </row>
    <row r="360">
      <c r="C360" s="10"/>
    </row>
    <row r="361">
      <c r="C361" s="10"/>
    </row>
    <row r="362">
      <c r="C362" s="10"/>
    </row>
    <row r="363">
      <c r="C363" s="10"/>
    </row>
    <row r="364">
      <c r="C364" s="10"/>
    </row>
    <row r="365">
      <c r="C365" s="10"/>
    </row>
    <row r="366">
      <c r="C366" s="10"/>
    </row>
    <row r="367">
      <c r="C367" s="10"/>
    </row>
    <row r="368">
      <c r="C368" s="10"/>
    </row>
    <row r="369">
      <c r="C369" s="10"/>
    </row>
    <row r="370">
      <c r="C370" s="10"/>
    </row>
    <row r="371">
      <c r="C371" s="10"/>
    </row>
    <row r="372">
      <c r="C372" s="10"/>
    </row>
    <row r="373">
      <c r="C373" s="10"/>
    </row>
    <row r="374">
      <c r="C374" s="10"/>
    </row>
    <row r="375">
      <c r="C375" s="10"/>
    </row>
    <row r="376">
      <c r="C376" s="10"/>
    </row>
    <row r="377">
      <c r="C377" s="10"/>
    </row>
    <row r="378">
      <c r="C378" s="10"/>
    </row>
    <row r="379">
      <c r="C379" s="10"/>
    </row>
    <row r="380">
      <c r="C380" s="10"/>
    </row>
    <row r="381">
      <c r="C381" s="10"/>
    </row>
    <row r="382">
      <c r="C382" s="10"/>
    </row>
    <row r="383">
      <c r="C383" s="10"/>
    </row>
    <row r="384">
      <c r="C384" s="10"/>
    </row>
    <row r="385">
      <c r="C385" s="10"/>
    </row>
    <row r="386">
      <c r="C386" s="10"/>
    </row>
    <row r="387">
      <c r="C387" s="10"/>
    </row>
    <row r="388">
      <c r="C388" s="10"/>
    </row>
    <row r="389">
      <c r="C389" s="10"/>
    </row>
    <row r="390">
      <c r="C390" s="10"/>
    </row>
    <row r="391">
      <c r="C391" s="10"/>
    </row>
    <row r="392">
      <c r="C392" s="10"/>
    </row>
    <row r="393">
      <c r="C393" s="10"/>
    </row>
    <row r="394">
      <c r="C394" s="10"/>
    </row>
    <row r="395">
      <c r="C395" s="10"/>
    </row>
    <row r="396">
      <c r="C396" s="10"/>
    </row>
    <row r="397">
      <c r="C397" s="10"/>
    </row>
    <row r="398">
      <c r="C398" s="10"/>
    </row>
    <row r="399">
      <c r="C399" s="10"/>
    </row>
    <row r="400">
      <c r="C400" s="10"/>
    </row>
    <row r="401">
      <c r="C401" s="10"/>
    </row>
    <row r="402">
      <c r="C402" s="10"/>
    </row>
    <row r="403">
      <c r="C403" s="10"/>
    </row>
    <row r="404">
      <c r="C404" s="10"/>
    </row>
    <row r="405">
      <c r="C405" s="10"/>
    </row>
    <row r="406">
      <c r="C406" s="10"/>
    </row>
    <row r="407">
      <c r="C407" s="10"/>
    </row>
    <row r="408">
      <c r="C408" s="10"/>
    </row>
    <row r="409">
      <c r="C409" s="10"/>
    </row>
    <row r="410">
      <c r="C410" s="10"/>
    </row>
    <row r="411">
      <c r="C411" s="10"/>
    </row>
    <row r="412">
      <c r="C412" s="10"/>
    </row>
    <row r="413">
      <c r="C413" s="10"/>
    </row>
    <row r="414">
      <c r="C414" s="10"/>
    </row>
    <row r="415">
      <c r="C415" s="10"/>
    </row>
    <row r="416">
      <c r="C416" s="10"/>
    </row>
    <row r="417">
      <c r="C417" s="10"/>
    </row>
    <row r="418">
      <c r="C418" s="10"/>
    </row>
    <row r="419">
      <c r="C419" s="10"/>
    </row>
    <row r="420">
      <c r="C420" s="10"/>
    </row>
    <row r="421">
      <c r="C421" s="10"/>
    </row>
    <row r="422">
      <c r="C422" s="10"/>
    </row>
    <row r="423">
      <c r="C423" s="10"/>
    </row>
    <row r="424">
      <c r="C424" s="10"/>
    </row>
    <row r="425">
      <c r="C425" s="10"/>
    </row>
    <row r="426">
      <c r="C426" s="10"/>
    </row>
    <row r="427">
      <c r="C427" s="10"/>
    </row>
    <row r="428">
      <c r="C428" s="10"/>
    </row>
    <row r="429">
      <c r="C429" s="10"/>
    </row>
    <row r="430">
      <c r="C430" s="10"/>
    </row>
    <row r="431">
      <c r="C431" s="10"/>
    </row>
    <row r="432">
      <c r="C432" s="10"/>
    </row>
    <row r="433">
      <c r="C433" s="10"/>
    </row>
    <row r="434">
      <c r="C434" s="10"/>
    </row>
    <row r="435">
      <c r="C435" s="10"/>
    </row>
    <row r="436">
      <c r="C436" s="10"/>
    </row>
    <row r="437">
      <c r="C437" s="10"/>
    </row>
    <row r="438">
      <c r="C438" s="10"/>
    </row>
    <row r="439">
      <c r="C439" s="10"/>
    </row>
    <row r="440">
      <c r="C440" s="10"/>
    </row>
    <row r="441">
      <c r="C441" s="10"/>
    </row>
    <row r="442">
      <c r="C442" s="10"/>
    </row>
    <row r="443">
      <c r="C443" s="10"/>
    </row>
    <row r="444">
      <c r="C444" s="10"/>
    </row>
    <row r="445">
      <c r="C445" s="10"/>
    </row>
    <row r="446">
      <c r="C446" s="10"/>
    </row>
    <row r="447">
      <c r="C447" s="10"/>
    </row>
    <row r="448">
      <c r="C448" s="10"/>
    </row>
    <row r="449">
      <c r="C449" s="10"/>
    </row>
    <row r="450">
      <c r="C450" s="10"/>
    </row>
    <row r="451">
      <c r="C451" s="10"/>
    </row>
    <row r="452">
      <c r="C452" s="10"/>
    </row>
    <row r="453">
      <c r="C453" s="10"/>
    </row>
    <row r="454">
      <c r="C454" s="10"/>
    </row>
    <row r="455">
      <c r="C455" s="10"/>
    </row>
    <row r="456">
      <c r="C456" s="10"/>
    </row>
    <row r="457">
      <c r="C457" s="10"/>
    </row>
    <row r="458">
      <c r="C458" s="10"/>
    </row>
    <row r="459">
      <c r="C459" s="10"/>
    </row>
    <row r="460">
      <c r="C460" s="10"/>
    </row>
    <row r="461">
      <c r="C461" s="10"/>
    </row>
    <row r="462">
      <c r="C462" s="10"/>
    </row>
    <row r="463">
      <c r="C463" s="10"/>
    </row>
    <row r="464">
      <c r="C464" s="10"/>
    </row>
    <row r="465">
      <c r="C465" s="10"/>
    </row>
    <row r="466">
      <c r="C466" s="10"/>
    </row>
    <row r="467">
      <c r="C467" s="10"/>
    </row>
    <row r="468">
      <c r="C468" s="10"/>
    </row>
    <row r="469">
      <c r="C469" s="10"/>
    </row>
    <row r="470">
      <c r="C470" s="10"/>
    </row>
    <row r="471">
      <c r="C471" s="10"/>
    </row>
    <row r="472">
      <c r="C472" s="10"/>
    </row>
    <row r="473">
      <c r="C473" s="10"/>
    </row>
    <row r="474">
      <c r="C474" s="10"/>
    </row>
    <row r="475">
      <c r="C475" s="10"/>
    </row>
    <row r="476">
      <c r="C476" s="10"/>
    </row>
    <row r="477">
      <c r="C477" s="10"/>
    </row>
    <row r="478">
      <c r="C478" s="10"/>
    </row>
    <row r="479">
      <c r="C479" s="10"/>
    </row>
    <row r="480">
      <c r="C480" s="10"/>
    </row>
    <row r="481">
      <c r="C481" s="10"/>
    </row>
    <row r="482">
      <c r="C482" s="10"/>
    </row>
    <row r="483">
      <c r="C483" s="10"/>
    </row>
    <row r="484">
      <c r="C484" s="10"/>
    </row>
    <row r="485">
      <c r="C485" s="10"/>
    </row>
    <row r="486">
      <c r="C486" s="10"/>
    </row>
    <row r="487">
      <c r="C487" s="10"/>
    </row>
    <row r="488">
      <c r="C488" s="10"/>
    </row>
    <row r="489">
      <c r="C489" s="10"/>
    </row>
    <row r="490">
      <c r="C490" s="10"/>
    </row>
    <row r="491">
      <c r="C491" s="10"/>
    </row>
    <row r="492">
      <c r="C492" s="10"/>
    </row>
    <row r="493">
      <c r="C493" s="10"/>
    </row>
    <row r="494">
      <c r="C494" s="10"/>
    </row>
    <row r="495">
      <c r="C495" s="10"/>
    </row>
    <row r="496">
      <c r="C496" s="10"/>
    </row>
    <row r="497">
      <c r="C497" s="10"/>
    </row>
    <row r="498">
      <c r="C498" s="10"/>
    </row>
    <row r="499">
      <c r="C499" s="10"/>
    </row>
    <row r="500">
      <c r="C500" s="10"/>
    </row>
    <row r="501">
      <c r="C501" s="10"/>
    </row>
    <row r="502">
      <c r="C502" s="10"/>
    </row>
    <row r="503">
      <c r="C503" s="10"/>
    </row>
    <row r="504">
      <c r="C504" s="10"/>
    </row>
    <row r="505">
      <c r="C505" s="10"/>
    </row>
    <row r="506">
      <c r="C506" s="10"/>
    </row>
    <row r="507">
      <c r="C507" s="10"/>
    </row>
    <row r="508">
      <c r="C508" s="10"/>
    </row>
    <row r="509">
      <c r="C509" s="10"/>
    </row>
    <row r="510">
      <c r="C510" s="10"/>
    </row>
    <row r="511">
      <c r="C511" s="10"/>
    </row>
    <row r="512">
      <c r="C512" s="10"/>
    </row>
    <row r="513">
      <c r="C513" s="10"/>
    </row>
    <row r="514">
      <c r="C514" s="10"/>
    </row>
    <row r="515">
      <c r="C515" s="10"/>
    </row>
    <row r="516">
      <c r="C516" s="10"/>
    </row>
    <row r="517">
      <c r="C517" s="10"/>
    </row>
    <row r="518">
      <c r="C518" s="10"/>
    </row>
    <row r="519">
      <c r="C519" s="10"/>
    </row>
    <row r="520">
      <c r="C520" s="10"/>
    </row>
    <row r="521">
      <c r="C521" s="10"/>
    </row>
    <row r="522">
      <c r="C522" s="10"/>
    </row>
    <row r="523">
      <c r="C523" s="10"/>
    </row>
    <row r="524">
      <c r="C524" s="10"/>
    </row>
    <row r="525">
      <c r="C525" s="10"/>
    </row>
    <row r="526">
      <c r="C526" s="10"/>
    </row>
    <row r="527">
      <c r="C527" s="10"/>
    </row>
    <row r="528">
      <c r="C528" s="10"/>
    </row>
    <row r="529">
      <c r="C529" s="10"/>
    </row>
    <row r="530">
      <c r="C530" s="10"/>
    </row>
    <row r="531">
      <c r="C531" s="10"/>
    </row>
    <row r="532">
      <c r="C532" s="10"/>
    </row>
    <row r="533">
      <c r="C533" s="10"/>
    </row>
    <row r="534">
      <c r="C534" s="10"/>
    </row>
    <row r="535">
      <c r="C535" s="10"/>
    </row>
    <row r="536">
      <c r="C536" s="10"/>
    </row>
    <row r="537">
      <c r="C537" s="10"/>
    </row>
    <row r="538">
      <c r="C538" s="10"/>
    </row>
    <row r="539">
      <c r="C539" s="10"/>
    </row>
    <row r="540">
      <c r="C540" s="10"/>
    </row>
    <row r="541">
      <c r="C541" s="10"/>
    </row>
    <row r="542">
      <c r="C542" s="10"/>
    </row>
    <row r="543">
      <c r="C543" s="10"/>
    </row>
    <row r="544">
      <c r="C544" s="10"/>
    </row>
    <row r="545">
      <c r="C545" s="10"/>
    </row>
    <row r="546">
      <c r="C546" s="10"/>
    </row>
    <row r="547">
      <c r="C547" s="10"/>
    </row>
    <row r="548">
      <c r="C548" s="10"/>
    </row>
    <row r="549">
      <c r="C549" s="10"/>
    </row>
    <row r="550">
      <c r="C550" s="10"/>
    </row>
    <row r="551">
      <c r="C551" s="10"/>
    </row>
    <row r="552">
      <c r="C552" s="10"/>
    </row>
    <row r="553">
      <c r="C553" s="10"/>
    </row>
    <row r="554">
      <c r="C554" s="10"/>
    </row>
    <row r="555">
      <c r="C555" s="10"/>
    </row>
    <row r="556">
      <c r="C556" s="10"/>
    </row>
    <row r="557">
      <c r="C557" s="10"/>
    </row>
    <row r="558">
      <c r="C558" s="10"/>
    </row>
    <row r="559">
      <c r="C559" s="10"/>
    </row>
    <row r="560">
      <c r="C560" s="10"/>
    </row>
    <row r="561">
      <c r="C561" s="10"/>
    </row>
    <row r="562">
      <c r="C562" s="10"/>
    </row>
    <row r="563">
      <c r="C563" s="10"/>
    </row>
    <row r="564">
      <c r="C564" s="10"/>
    </row>
    <row r="565">
      <c r="C565" s="10"/>
    </row>
    <row r="566">
      <c r="C566" s="10"/>
    </row>
    <row r="567">
      <c r="C567" s="10"/>
    </row>
    <row r="568">
      <c r="C568" s="10"/>
    </row>
    <row r="569">
      <c r="C569" s="10"/>
    </row>
    <row r="570">
      <c r="C570" s="10"/>
    </row>
    <row r="571">
      <c r="C571" s="10"/>
    </row>
    <row r="572">
      <c r="C572" s="10"/>
    </row>
    <row r="573">
      <c r="C573" s="10"/>
    </row>
    <row r="574">
      <c r="C574" s="10"/>
    </row>
    <row r="575">
      <c r="C575" s="10"/>
    </row>
    <row r="576">
      <c r="C576" s="10"/>
    </row>
    <row r="577">
      <c r="C577" s="10"/>
    </row>
    <row r="578">
      <c r="C578" s="10"/>
    </row>
    <row r="579">
      <c r="C579" s="10"/>
    </row>
    <row r="580">
      <c r="C580" s="10"/>
    </row>
    <row r="581">
      <c r="C581" s="10"/>
    </row>
    <row r="582">
      <c r="C582" s="10"/>
    </row>
    <row r="583">
      <c r="C583" s="10"/>
    </row>
    <row r="584">
      <c r="C584" s="10"/>
    </row>
    <row r="585">
      <c r="C585" s="10"/>
    </row>
    <row r="586">
      <c r="C586" s="10"/>
    </row>
    <row r="587">
      <c r="C587" s="10"/>
    </row>
    <row r="588">
      <c r="C588" s="10"/>
    </row>
    <row r="589">
      <c r="C589" s="10"/>
    </row>
    <row r="590">
      <c r="C590" s="10"/>
    </row>
    <row r="591">
      <c r="C591" s="10"/>
    </row>
    <row r="592">
      <c r="C592" s="10"/>
    </row>
    <row r="593">
      <c r="C593" s="10"/>
    </row>
    <row r="594">
      <c r="C594" s="10"/>
    </row>
    <row r="595">
      <c r="C595" s="10"/>
    </row>
    <row r="596">
      <c r="C596" s="10"/>
    </row>
    <row r="597">
      <c r="C597" s="10"/>
    </row>
    <row r="598">
      <c r="C598" s="10"/>
    </row>
    <row r="599">
      <c r="C599" s="10"/>
    </row>
    <row r="600">
      <c r="C600" s="10"/>
    </row>
    <row r="601">
      <c r="C601" s="10"/>
    </row>
    <row r="602">
      <c r="C602" s="10"/>
    </row>
    <row r="603">
      <c r="C603" s="10"/>
    </row>
    <row r="604">
      <c r="C604" s="10"/>
    </row>
    <row r="605">
      <c r="C605" s="10"/>
    </row>
    <row r="606">
      <c r="C606" s="10"/>
    </row>
    <row r="607">
      <c r="C607" s="10"/>
    </row>
    <row r="608">
      <c r="C608" s="10"/>
    </row>
    <row r="609">
      <c r="C609" s="10"/>
    </row>
    <row r="610">
      <c r="C610" s="10"/>
    </row>
    <row r="611">
      <c r="C611" s="10"/>
    </row>
    <row r="612">
      <c r="C612" s="10"/>
    </row>
    <row r="613">
      <c r="C613" s="10"/>
    </row>
    <row r="614">
      <c r="C614" s="10"/>
    </row>
    <row r="615">
      <c r="C615" s="10"/>
    </row>
    <row r="616">
      <c r="C616" s="10"/>
    </row>
    <row r="617">
      <c r="C617" s="10"/>
    </row>
    <row r="618">
      <c r="C618" s="10"/>
    </row>
    <row r="619">
      <c r="C619" s="10"/>
    </row>
    <row r="620">
      <c r="C620" s="10"/>
    </row>
    <row r="621">
      <c r="C621" s="10"/>
    </row>
    <row r="622">
      <c r="C622" s="10"/>
    </row>
    <row r="623">
      <c r="C623" s="10"/>
    </row>
    <row r="624">
      <c r="C624" s="10"/>
    </row>
    <row r="625">
      <c r="C625" s="10"/>
    </row>
    <row r="626">
      <c r="C626" s="10"/>
    </row>
    <row r="627">
      <c r="C627" s="10"/>
    </row>
    <row r="628">
      <c r="C628" s="10"/>
    </row>
    <row r="629">
      <c r="C629" s="10"/>
    </row>
    <row r="630">
      <c r="C630" s="10"/>
    </row>
    <row r="631">
      <c r="C631" s="10"/>
    </row>
    <row r="632">
      <c r="C632" s="10"/>
    </row>
    <row r="633">
      <c r="C633" s="10"/>
    </row>
    <row r="634">
      <c r="C634" s="10"/>
    </row>
    <row r="635">
      <c r="C635" s="10"/>
    </row>
    <row r="636">
      <c r="C636" s="10"/>
    </row>
    <row r="637">
      <c r="C637" s="10"/>
    </row>
    <row r="638">
      <c r="C638" s="10"/>
    </row>
    <row r="639">
      <c r="C639" s="10"/>
    </row>
    <row r="640">
      <c r="C640" s="10"/>
    </row>
    <row r="641">
      <c r="C641" s="10"/>
    </row>
    <row r="642">
      <c r="C642" s="10"/>
    </row>
    <row r="643">
      <c r="C643" s="10"/>
    </row>
    <row r="644">
      <c r="C644" s="10"/>
    </row>
    <row r="645">
      <c r="C645" s="10"/>
    </row>
    <row r="646">
      <c r="C646" s="10"/>
    </row>
    <row r="647">
      <c r="C647" s="10"/>
    </row>
    <row r="648">
      <c r="C648" s="10"/>
    </row>
    <row r="649">
      <c r="C649" s="10"/>
    </row>
    <row r="650">
      <c r="C650" s="10"/>
    </row>
    <row r="651">
      <c r="C651" s="10"/>
    </row>
    <row r="652">
      <c r="C652" s="10"/>
    </row>
    <row r="653">
      <c r="C653" s="10"/>
    </row>
    <row r="654">
      <c r="C654" s="10"/>
    </row>
    <row r="655">
      <c r="C655" s="10"/>
    </row>
    <row r="656">
      <c r="C656" s="10"/>
    </row>
    <row r="657">
      <c r="C657" s="10"/>
    </row>
    <row r="658">
      <c r="C658" s="10"/>
    </row>
    <row r="659">
      <c r="C659" s="10"/>
    </row>
    <row r="660">
      <c r="C660" s="10"/>
    </row>
    <row r="661">
      <c r="C661" s="10"/>
    </row>
    <row r="662">
      <c r="C662" s="10"/>
    </row>
    <row r="663">
      <c r="C663" s="10"/>
    </row>
    <row r="664">
      <c r="C664" s="10"/>
    </row>
    <row r="665">
      <c r="C665" s="10"/>
    </row>
    <row r="666">
      <c r="C666" s="10"/>
    </row>
    <row r="667">
      <c r="C667" s="10"/>
    </row>
    <row r="668">
      <c r="C668" s="10"/>
    </row>
    <row r="669">
      <c r="C669" s="10"/>
    </row>
    <row r="670">
      <c r="C670" s="10"/>
    </row>
    <row r="671">
      <c r="C671" s="10"/>
    </row>
    <row r="672">
      <c r="C672" s="10"/>
    </row>
    <row r="673">
      <c r="C673" s="10"/>
    </row>
    <row r="674">
      <c r="C674" s="10"/>
    </row>
    <row r="675">
      <c r="C675" s="10"/>
    </row>
    <row r="676">
      <c r="C676" s="10"/>
    </row>
    <row r="677">
      <c r="C677" s="10"/>
    </row>
    <row r="678">
      <c r="C678" s="10"/>
    </row>
    <row r="679">
      <c r="C679" s="10"/>
    </row>
    <row r="680">
      <c r="C680" s="10"/>
    </row>
    <row r="681">
      <c r="C681" s="10"/>
    </row>
    <row r="682">
      <c r="C682" s="10"/>
    </row>
    <row r="683">
      <c r="C683" s="10"/>
    </row>
    <row r="684">
      <c r="C684" s="10"/>
    </row>
    <row r="685">
      <c r="C685" s="10"/>
    </row>
    <row r="686">
      <c r="C686" s="10"/>
    </row>
    <row r="687">
      <c r="C687" s="10"/>
    </row>
    <row r="688">
      <c r="C688" s="10"/>
    </row>
    <row r="689">
      <c r="C689" s="10"/>
    </row>
    <row r="690">
      <c r="C690" s="10"/>
    </row>
    <row r="691">
      <c r="C691" s="10"/>
    </row>
    <row r="692">
      <c r="C692" s="10"/>
    </row>
    <row r="693">
      <c r="C693" s="10"/>
    </row>
    <row r="694">
      <c r="C694" s="10"/>
    </row>
    <row r="695">
      <c r="C695" s="10"/>
    </row>
    <row r="696">
      <c r="C696" s="10"/>
    </row>
    <row r="697">
      <c r="C697" s="10"/>
    </row>
    <row r="698">
      <c r="C698" s="10"/>
    </row>
    <row r="699">
      <c r="C699" s="10"/>
    </row>
    <row r="700">
      <c r="C700" s="10"/>
    </row>
    <row r="701">
      <c r="C701" s="10"/>
    </row>
    <row r="702">
      <c r="C702" s="10"/>
    </row>
    <row r="703">
      <c r="C703" s="10"/>
    </row>
    <row r="704">
      <c r="C704" s="10"/>
    </row>
    <row r="705">
      <c r="C705" s="10"/>
    </row>
    <row r="706">
      <c r="C706" s="10"/>
    </row>
    <row r="707">
      <c r="C707" s="10"/>
    </row>
    <row r="708">
      <c r="C708" s="10"/>
    </row>
    <row r="709">
      <c r="C709" s="10"/>
    </row>
    <row r="710">
      <c r="C710" s="10"/>
    </row>
    <row r="711">
      <c r="C711" s="10"/>
    </row>
    <row r="712">
      <c r="C712" s="10"/>
    </row>
    <row r="713">
      <c r="C713" s="10"/>
    </row>
    <row r="714">
      <c r="C714" s="10"/>
    </row>
    <row r="715">
      <c r="C715" s="10"/>
    </row>
    <row r="716">
      <c r="C716" s="10"/>
    </row>
    <row r="717">
      <c r="C717" s="10"/>
    </row>
    <row r="718">
      <c r="C718" s="10"/>
    </row>
    <row r="719">
      <c r="C719" s="10"/>
    </row>
    <row r="720">
      <c r="C720" s="10"/>
    </row>
    <row r="721">
      <c r="C721" s="10"/>
    </row>
    <row r="722">
      <c r="C722" s="10"/>
    </row>
    <row r="723">
      <c r="C723" s="10"/>
    </row>
    <row r="724">
      <c r="C724" s="10"/>
    </row>
    <row r="725">
      <c r="C725" s="10"/>
    </row>
    <row r="726">
      <c r="C726" s="10"/>
    </row>
    <row r="727">
      <c r="C727" s="10"/>
    </row>
    <row r="728">
      <c r="C728" s="10"/>
    </row>
    <row r="729">
      <c r="C729" s="10"/>
    </row>
    <row r="730">
      <c r="C730" s="10"/>
    </row>
    <row r="731">
      <c r="C731" s="10"/>
    </row>
    <row r="732">
      <c r="C732" s="10"/>
    </row>
    <row r="733">
      <c r="C733" s="10"/>
    </row>
    <row r="734">
      <c r="C734" s="10"/>
    </row>
    <row r="735">
      <c r="C735" s="10"/>
    </row>
    <row r="736">
      <c r="C736" s="10"/>
    </row>
    <row r="737">
      <c r="C737" s="10"/>
    </row>
    <row r="738">
      <c r="C738" s="10"/>
    </row>
    <row r="739">
      <c r="C739" s="10"/>
    </row>
    <row r="740">
      <c r="C740" s="10"/>
    </row>
    <row r="741">
      <c r="C741" s="10"/>
    </row>
    <row r="742">
      <c r="C742" s="10"/>
    </row>
    <row r="743">
      <c r="C743" s="10"/>
    </row>
    <row r="744">
      <c r="C744" s="10"/>
    </row>
    <row r="745">
      <c r="C745" s="10"/>
    </row>
    <row r="746">
      <c r="C746" s="10"/>
    </row>
    <row r="747">
      <c r="C747" s="10"/>
    </row>
    <row r="748">
      <c r="C748" s="10"/>
    </row>
    <row r="749">
      <c r="C749" s="10"/>
    </row>
    <row r="750">
      <c r="C750" s="10"/>
    </row>
    <row r="751">
      <c r="C751" s="10"/>
    </row>
    <row r="752">
      <c r="C752" s="10"/>
    </row>
    <row r="753">
      <c r="C753" s="10"/>
    </row>
    <row r="754">
      <c r="C754" s="10"/>
    </row>
    <row r="755">
      <c r="C755" s="10"/>
    </row>
    <row r="756">
      <c r="C756" s="10"/>
    </row>
    <row r="757">
      <c r="C757" s="10"/>
    </row>
    <row r="758">
      <c r="C758" s="10"/>
    </row>
    <row r="759">
      <c r="C759" s="10"/>
    </row>
    <row r="760">
      <c r="C760" s="10"/>
    </row>
    <row r="761">
      <c r="C761" s="10"/>
    </row>
    <row r="762">
      <c r="C762" s="10"/>
    </row>
    <row r="763">
      <c r="C763" s="10"/>
    </row>
    <row r="764">
      <c r="C764" s="10"/>
    </row>
    <row r="765">
      <c r="C765" s="10"/>
    </row>
    <row r="766">
      <c r="C766" s="10"/>
    </row>
    <row r="767">
      <c r="C767" s="10"/>
    </row>
    <row r="768">
      <c r="C768" s="10"/>
    </row>
    <row r="769">
      <c r="C769" s="10"/>
    </row>
    <row r="770">
      <c r="C770" s="10"/>
    </row>
    <row r="771">
      <c r="C771" s="10"/>
    </row>
    <row r="772">
      <c r="C772" s="10"/>
    </row>
    <row r="773">
      <c r="C773" s="10"/>
    </row>
    <row r="774">
      <c r="C774" s="10"/>
    </row>
    <row r="775">
      <c r="C775" s="10"/>
    </row>
    <row r="776">
      <c r="C776" s="10"/>
    </row>
    <row r="777">
      <c r="C777" s="10"/>
    </row>
    <row r="778">
      <c r="C778" s="10"/>
    </row>
    <row r="779">
      <c r="C779" s="10"/>
    </row>
    <row r="780">
      <c r="C780" s="10"/>
    </row>
    <row r="781">
      <c r="C781" s="10"/>
    </row>
    <row r="782">
      <c r="C782" s="10"/>
    </row>
    <row r="783">
      <c r="C783" s="10"/>
    </row>
    <row r="784">
      <c r="C784" s="10"/>
    </row>
    <row r="785">
      <c r="C785" s="10"/>
    </row>
    <row r="786">
      <c r="C786" s="10"/>
    </row>
    <row r="787">
      <c r="C787" s="10"/>
    </row>
    <row r="788">
      <c r="C788" s="10"/>
    </row>
    <row r="789">
      <c r="C789" s="10"/>
    </row>
    <row r="790">
      <c r="C790" s="10"/>
    </row>
    <row r="791">
      <c r="C791" s="10"/>
    </row>
    <row r="792">
      <c r="C792" s="10"/>
    </row>
    <row r="793">
      <c r="C793" s="10"/>
    </row>
    <row r="794">
      <c r="C794" s="10"/>
    </row>
    <row r="795">
      <c r="C795" s="10"/>
    </row>
    <row r="796">
      <c r="C796" s="10"/>
    </row>
    <row r="797">
      <c r="C797" s="10"/>
    </row>
    <row r="798">
      <c r="C798" s="10"/>
    </row>
    <row r="799">
      <c r="C799" s="10"/>
    </row>
    <row r="800">
      <c r="C800" s="10"/>
    </row>
    <row r="801">
      <c r="C801" s="10"/>
    </row>
    <row r="802">
      <c r="C802" s="10"/>
    </row>
    <row r="803">
      <c r="C803" s="10"/>
    </row>
    <row r="804">
      <c r="C804" s="10"/>
    </row>
    <row r="805">
      <c r="C805" s="10"/>
    </row>
    <row r="806">
      <c r="C806" s="10"/>
    </row>
    <row r="807">
      <c r="C807" s="10"/>
    </row>
    <row r="808">
      <c r="C808" s="10"/>
    </row>
    <row r="809">
      <c r="C809" s="10"/>
    </row>
    <row r="810">
      <c r="C810" s="10"/>
    </row>
    <row r="811">
      <c r="C811" s="10"/>
    </row>
    <row r="812">
      <c r="C812" s="10"/>
    </row>
    <row r="813">
      <c r="C813" s="10"/>
    </row>
    <row r="814">
      <c r="C814" s="10"/>
    </row>
    <row r="815">
      <c r="C815" s="10"/>
    </row>
    <row r="816">
      <c r="C816" s="10"/>
    </row>
    <row r="817">
      <c r="C817" s="10"/>
    </row>
    <row r="818">
      <c r="C818" s="10"/>
    </row>
    <row r="819">
      <c r="C819" s="10"/>
    </row>
    <row r="820">
      <c r="C820" s="10"/>
    </row>
    <row r="821">
      <c r="C821" s="10"/>
    </row>
    <row r="822">
      <c r="C822" s="10"/>
    </row>
    <row r="823">
      <c r="C823" s="10"/>
    </row>
    <row r="824">
      <c r="C824" s="10"/>
    </row>
    <row r="825">
      <c r="C825" s="10"/>
    </row>
    <row r="826">
      <c r="C826" s="10"/>
    </row>
    <row r="827">
      <c r="C827" s="10"/>
    </row>
    <row r="828">
      <c r="C828" s="10"/>
    </row>
    <row r="829">
      <c r="C829" s="10"/>
    </row>
    <row r="830">
      <c r="C830" s="10"/>
    </row>
    <row r="831">
      <c r="C831" s="10"/>
    </row>
    <row r="832">
      <c r="C832" s="10"/>
    </row>
    <row r="833">
      <c r="C833" s="10"/>
    </row>
    <row r="834">
      <c r="C834" s="10"/>
    </row>
    <row r="835">
      <c r="C835" s="10"/>
    </row>
    <row r="836">
      <c r="C836" s="10"/>
    </row>
    <row r="837">
      <c r="C837" s="10"/>
    </row>
    <row r="838">
      <c r="C838" s="10"/>
    </row>
    <row r="839">
      <c r="C839" s="10"/>
    </row>
    <row r="840">
      <c r="C840" s="10"/>
    </row>
    <row r="841">
      <c r="C841" s="10"/>
    </row>
    <row r="842">
      <c r="C842" s="10"/>
    </row>
    <row r="843">
      <c r="C843" s="10"/>
    </row>
    <row r="844">
      <c r="C844" s="10"/>
    </row>
    <row r="845">
      <c r="C845" s="10"/>
    </row>
    <row r="846">
      <c r="C846" s="10"/>
    </row>
    <row r="847">
      <c r="C847" s="10"/>
    </row>
    <row r="848">
      <c r="C848" s="10"/>
    </row>
    <row r="849">
      <c r="C849" s="10"/>
    </row>
    <row r="850">
      <c r="C850" s="10"/>
    </row>
    <row r="851">
      <c r="C851" s="10"/>
    </row>
    <row r="852">
      <c r="C852" s="10"/>
    </row>
    <row r="853">
      <c r="C853" s="10"/>
    </row>
    <row r="854">
      <c r="C854" s="10"/>
    </row>
    <row r="855">
      <c r="C855" s="10"/>
    </row>
    <row r="856">
      <c r="C856" s="10"/>
    </row>
    <row r="857">
      <c r="C857" s="10"/>
    </row>
    <row r="858">
      <c r="C858" s="10"/>
    </row>
    <row r="859">
      <c r="C859" s="10"/>
    </row>
    <row r="860">
      <c r="C860" s="10"/>
    </row>
    <row r="861">
      <c r="C861" s="10"/>
    </row>
    <row r="862">
      <c r="C862" s="10"/>
    </row>
    <row r="863">
      <c r="C863" s="10"/>
    </row>
    <row r="864">
      <c r="C864" s="10"/>
    </row>
    <row r="865">
      <c r="C865" s="10"/>
    </row>
    <row r="866">
      <c r="C866" s="10"/>
    </row>
    <row r="867">
      <c r="C867" s="10"/>
    </row>
    <row r="868">
      <c r="C868" s="10"/>
    </row>
    <row r="869">
      <c r="C869" s="10"/>
    </row>
    <row r="870">
      <c r="C870" s="10"/>
    </row>
    <row r="871">
      <c r="C871" s="10"/>
    </row>
    <row r="872">
      <c r="C872" s="10"/>
    </row>
    <row r="873">
      <c r="C873" s="10"/>
    </row>
    <row r="874">
      <c r="C874" s="10"/>
    </row>
    <row r="875">
      <c r="C875" s="10"/>
    </row>
    <row r="876">
      <c r="C876" s="10"/>
    </row>
    <row r="877">
      <c r="C877" s="10"/>
    </row>
    <row r="878">
      <c r="C878" s="10"/>
    </row>
    <row r="879">
      <c r="C879" s="10"/>
    </row>
    <row r="880">
      <c r="C880" s="10"/>
    </row>
    <row r="881">
      <c r="C881" s="10"/>
    </row>
    <row r="882">
      <c r="C882" s="10"/>
    </row>
    <row r="883">
      <c r="C883" s="10"/>
    </row>
    <row r="884">
      <c r="C884" s="10"/>
    </row>
    <row r="885">
      <c r="C885" s="10"/>
    </row>
    <row r="886">
      <c r="C886" s="10"/>
    </row>
    <row r="887">
      <c r="C887" s="10"/>
    </row>
    <row r="888">
      <c r="C888" s="10"/>
    </row>
    <row r="889">
      <c r="C889" s="10"/>
    </row>
    <row r="890">
      <c r="C890" s="10"/>
    </row>
    <row r="891">
      <c r="C891" s="10"/>
    </row>
    <row r="892">
      <c r="C892" s="10"/>
    </row>
    <row r="893">
      <c r="C893" s="10"/>
    </row>
    <row r="894">
      <c r="C894" s="10"/>
    </row>
    <row r="895">
      <c r="C895" s="10"/>
    </row>
    <row r="896">
      <c r="C896" s="10"/>
    </row>
    <row r="897">
      <c r="C897" s="10"/>
    </row>
    <row r="898">
      <c r="C898" s="10"/>
    </row>
    <row r="899">
      <c r="C899" s="10"/>
    </row>
    <row r="900">
      <c r="C900" s="10"/>
    </row>
    <row r="901">
      <c r="C901" s="10"/>
    </row>
    <row r="902">
      <c r="C902" s="10"/>
    </row>
    <row r="903">
      <c r="C903" s="10"/>
    </row>
    <row r="904">
      <c r="C904" s="10"/>
    </row>
    <row r="905">
      <c r="C905" s="10"/>
    </row>
    <row r="906">
      <c r="C906" s="10"/>
    </row>
    <row r="907">
      <c r="C907" s="10"/>
    </row>
    <row r="908">
      <c r="C908" s="10"/>
    </row>
    <row r="909">
      <c r="C909" s="10"/>
    </row>
    <row r="910">
      <c r="C910" s="10"/>
    </row>
    <row r="911">
      <c r="C911" s="10"/>
    </row>
    <row r="912">
      <c r="C912" s="10"/>
    </row>
    <row r="913">
      <c r="C913" s="10"/>
    </row>
    <row r="914">
      <c r="C914" s="10"/>
    </row>
    <row r="915">
      <c r="C915" s="10"/>
    </row>
    <row r="916">
      <c r="C916" s="10"/>
    </row>
    <row r="917">
      <c r="C917" s="10"/>
    </row>
    <row r="918">
      <c r="C918" s="10"/>
    </row>
    <row r="919">
      <c r="C919" s="10"/>
    </row>
    <row r="920">
      <c r="C920" s="10"/>
    </row>
    <row r="921">
      <c r="C921" s="10"/>
    </row>
    <row r="922">
      <c r="C922" s="10"/>
    </row>
    <row r="923">
      <c r="C923" s="10"/>
    </row>
    <row r="924">
      <c r="C924" s="10"/>
    </row>
    <row r="925">
      <c r="C925" s="10"/>
    </row>
    <row r="926">
      <c r="C926" s="10"/>
    </row>
    <row r="927">
      <c r="C927" s="10"/>
    </row>
    <row r="928">
      <c r="C928" s="10"/>
    </row>
    <row r="929">
      <c r="C929" s="10"/>
    </row>
    <row r="930">
      <c r="C930" s="10"/>
    </row>
    <row r="931">
      <c r="C931" s="10"/>
    </row>
    <row r="932">
      <c r="C932" s="10"/>
    </row>
    <row r="933">
      <c r="C933" s="10"/>
    </row>
    <row r="934">
      <c r="C934" s="10"/>
    </row>
    <row r="935">
      <c r="C935" s="10"/>
    </row>
    <row r="936">
      <c r="C936" s="10"/>
    </row>
    <row r="937">
      <c r="C937" s="10"/>
    </row>
    <row r="938">
      <c r="C938" s="10"/>
    </row>
    <row r="939">
      <c r="C939" s="10"/>
    </row>
    <row r="940">
      <c r="C940" s="10"/>
    </row>
    <row r="941">
      <c r="C941" s="10"/>
    </row>
    <row r="942">
      <c r="C942" s="10"/>
    </row>
    <row r="943">
      <c r="C943" s="10"/>
    </row>
    <row r="944">
      <c r="C944" s="10"/>
    </row>
    <row r="945">
      <c r="C945" s="10"/>
    </row>
    <row r="946">
      <c r="C946" s="10"/>
    </row>
    <row r="947">
      <c r="C947" s="10"/>
    </row>
    <row r="948">
      <c r="C948" s="10"/>
    </row>
    <row r="949">
      <c r="C949" s="10"/>
    </row>
    <row r="950">
      <c r="C950" s="10"/>
    </row>
    <row r="951">
      <c r="C951" s="10"/>
    </row>
    <row r="952">
      <c r="C952" s="10"/>
    </row>
    <row r="953">
      <c r="C953" s="10"/>
    </row>
    <row r="954">
      <c r="C954" s="10"/>
    </row>
    <row r="955">
      <c r="C955" s="10"/>
    </row>
    <row r="956">
      <c r="C956" s="10"/>
    </row>
    <row r="957">
      <c r="C957" s="10"/>
    </row>
    <row r="958">
      <c r="C958" s="10"/>
    </row>
    <row r="959">
      <c r="C959" s="10"/>
    </row>
    <row r="960">
      <c r="C960" s="10"/>
    </row>
    <row r="961">
      <c r="C961" s="10"/>
    </row>
    <row r="962">
      <c r="C962" s="10"/>
    </row>
    <row r="963">
      <c r="C963" s="10"/>
    </row>
    <row r="964">
      <c r="C964" s="10"/>
    </row>
    <row r="965">
      <c r="C965" s="10"/>
    </row>
    <row r="966">
      <c r="C966" s="10"/>
    </row>
    <row r="967">
      <c r="C967" s="10"/>
    </row>
    <row r="968">
      <c r="C968" s="10"/>
    </row>
    <row r="969">
      <c r="C969" s="10"/>
    </row>
    <row r="970">
      <c r="C970" s="10"/>
    </row>
    <row r="971">
      <c r="C971" s="10"/>
    </row>
    <row r="972">
      <c r="C972" s="10"/>
    </row>
    <row r="973">
      <c r="C973" s="10"/>
    </row>
    <row r="974">
      <c r="C974" s="10"/>
    </row>
    <row r="975">
      <c r="C975" s="10"/>
    </row>
    <row r="976">
      <c r="C976" s="10"/>
    </row>
    <row r="977">
      <c r="C977" s="10"/>
    </row>
    <row r="978">
      <c r="C978" s="10"/>
    </row>
    <row r="979">
      <c r="C979" s="10"/>
    </row>
    <row r="980">
      <c r="C980" s="10"/>
    </row>
    <row r="981">
      <c r="C981" s="10"/>
    </row>
    <row r="982">
      <c r="C982" s="10"/>
    </row>
    <row r="983">
      <c r="C983" s="10"/>
    </row>
    <row r="984">
      <c r="C984" s="10"/>
    </row>
    <row r="985">
      <c r="C985" s="10"/>
    </row>
    <row r="986">
      <c r="C986" s="10"/>
    </row>
    <row r="987">
      <c r="C987" s="10"/>
    </row>
    <row r="988">
      <c r="C988" s="10"/>
    </row>
    <row r="989">
      <c r="C989" s="10"/>
    </row>
    <row r="990">
      <c r="C990" s="10"/>
    </row>
    <row r="991">
      <c r="C991" s="10"/>
    </row>
    <row r="992">
      <c r="C992" s="10"/>
    </row>
    <row r="993">
      <c r="C993" s="10"/>
    </row>
    <row r="994">
      <c r="C994" s="10"/>
    </row>
    <row r="995">
      <c r="C995" s="10"/>
    </row>
    <row r="996">
      <c r="C996" s="10"/>
    </row>
    <row r="997">
      <c r="C997" s="10"/>
    </row>
    <row r="998">
      <c r="C998" s="10"/>
    </row>
    <row r="999">
      <c r="C999" s="10"/>
    </row>
    <row r="1000">
      <c r="C1000" s="10"/>
    </row>
    <row r="1001">
      <c r="C1001" s="10"/>
    </row>
    <row r="1002">
      <c r="C1002" s="10"/>
    </row>
    <row r="1003">
      <c r="C1003" s="10"/>
    </row>
    <row r="1004">
      <c r="C1004" s="10"/>
    </row>
    <row r="1005">
      <c r="C1005" s="10"/>
    </row>
    <row r="1006">
      <c r="C1006" s="10"/>
    </row>
    <row r="1007">
      <c r="C1007" s="10"/>
    </row>
    <row r="1008">
      <c r="C1008" s="10"/>
    </row>
    <row r="1009">
      <c r="C1009" s="10"/>
    </row>
    <row r="1010">
      <c r="C1010" s="10"/>
    </row>
    <row r="1011">
      <c r="C1011" s="10"/>
    </row>
    <row r="1012">
      <c r="C1012" s="10"/>
    </row>
    <row r="1013">
      <c r="C1013" s="10"/>
    </row>
    <row r="1014">
      <c r="C1014" s="10"/>
    </row>
    <row r="1015">
      <c r="C1015" s="10"/>
    </row>
    <row r="1016">
      <c r="C1016" s="10"/>
    </row>
    <row r="1017">
      <c r="C1017" s="10"/>
    </row>
    <row r="1018">
      <c r="C1018" s="10"/>
    </row>
    <row r="1019">
      <c r="C1019" s="10"/>
    </row>
    <row r="1020">
      <c r="C1020" s="10"/>
    </row>
    <row r="1021">
      <c r="C1021" s="10"/>
    </row>
    <row r="1022">
      <c r="C1022" s="10"/>
    </row>
    <row r="1023">
      <c r="C1023" s="10"/>
    </row>
    <row r="1024">
      <c r="C1024" s="10"/>
    </row>
    <row r="1025">
      <c r="C1025" s="10"/>
    </row>
    <row r="1026">
      <c r="C1026" s="10"/>
    </row>
    <row r="1027">
      <c r="C1027" s="10"/>
    </row>
    <row r="1028">
      <c r="C1028" s="10"/>
    </row>
    <row r="1029">
      <c r="C1029" s="10"/>
    </row>
    <row r="1030">
      <c r="C1030" s="10"/>
    </row>
    <row r="1031">
      <c r="C1031" s="10"/>
    </row>
    <row r="1032">
      <c r="C1032" s="10"/>
    </row>
    <row r="1033">
      <c r="C1033" s="10"/>
    </row>
    <row r="1034">
      <c r="C1034" s="10"/>
    </row>
    <row r="1035">
      <c r="C1035" s="10"/>
    </row>
    <row r="1036">
      <c r="C1036" s="10"/>
    </row>
    <row r="1037">
      <c r="C1037" s="10"/>
    </row>
  </sheetData>
  <mergeCells count="9">
    <mergeCell ref="A60:E60"/>
    <mergeCell ref="A73:E73"/>
    <mergeCell ref="A2:E2"/>
    <mergeCell ref="A8:E8"/>
    <mergeCell ref="A14:E14"/>
    <mergeCell ref="A28:E28"/>
    <mergeCell ref="A29:E29"/>
    <mergeCell ref="A40:E40"/>
    <mergeCell ref="A49:E49"/>
  </mergeCells>
  <hyperlinks>
    <hyperlink r:id="rId4" ref="D5"/>
    <hyperlink r:id="rId5" ref="D6"/>
    <hyperlink r:id="rId6" ref="D34"/>
  </hyperlinks>
  <drawing r:id="rId7"/>
  <legacy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0"/>
  </cols>
  <sheetData>
    <row r="1">
      <c r="A1" s="19" t="s">
        <v>103</v>
      </c>
      <c r="B1" s="20">
        <v>12.95</v>
      </c>
      <c r="C1" s="20">
        <v>6.0</v>
      </c>
      <c r="F1" s="19" t="str">
        <f>CONCATENATE(A1, " $",B1," ",C1," orders")</f>
        <v>Dim Sum $12.95 6 orders</v>
      </c>
    </row>
    <row r="2">
      <c r="A2" s="21"/>
      <c r="B2" s="20"/>
      <c r="C2" s="20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>
      <c r="A3" s="21" t="s">
        <v>104</v>
      </c>
      <c r="B3" s="20">
        <v>15.95</v>
      </c>
      <c r="C3" s="20">
        <v>6.0</v>
      </c>
      <c r="D3" s="19"/>
      <c r="E3" s="19"/>
      <c r="F3" s="19" t="str">
        <f t="shared" ref="F3:F5" si="1">CONCATENATE(A3, " $",B3," ",C3," orders")</f>
        <v>Snow Pea Leaves 15.95 $15.95 6 orders</v>
      </c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>
      <c r="A4" s="22" t="s">
        <v>105</v>
      </c>
      <c r="B4" s="20">
        <v>15.95</v>
      </c>
      <c r="C4" s="20">
        <v>6.0</v>
      </c>
      <c r="D4" s="19"/>
      <c r="E4" s="19"/>
      <c r="F4" s="19" t="str">
        <f t="shared" si="1"/>
        <v>String Bean with Garlic Sauce $15.95 6 orders</v>
      </c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>
      <c r="A5" s="22" t="s">
        <v>106</v>
      </c>
      <c r="B5" s="23">
        <v>15.95</v>
      </c>
      <c r="C5" s="23">
        <v>6.0</v>
      </c>
      <c r="D5" s="19"/>
      <c r="E5" s="19"/>
      <c r="F5" s="19" t="str">
        <f t="shared" si="1"/>
        <v>Eggplants w Garlic Sauce  $15.95 6 orders</v>
      </c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>
      <c r="A6" s="21"/>
      <c r="B6" s="20"/>
      <c r="C6" s="20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>
      <c r="A7" s="21" t="s">
        <v>107</v>
      </c>
      <c r="B7" s="20">
        <v>16.95</v>
      </c>
      <c r="C7" s="20">
        <v>6.0</v>
      </c>
      <c r="D7" s="19"/>
      <c r="E7" s="19"/>
      <c r="F7" s="19" t="str">
        <f t="shared" ref="F7:F9" si="2">CONCATENATE(A7, " $",B7," ",C7," orders")</f>
        <v>No. 11 Noodle with Black Mushroom $16.95 $16.95 6 orders</v>
      </c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>
      <c r="A8" s="21" t="s">
        <v>108</v>
      </c>
      <c r="B8" s="20">
        <v>12.95</v>
      </c>
      <c r="C8" s="20">
        <v>6.0</v>
      </c>
      <c r="D8" s="19"/>
      <c r="E8" s="19"/>
      <c r="F8" s="19" t="str">
        <f t="shared" si="2"/>
        <v>No. 6 Shrimp Fried Rice $12.95 $12.95 6 orders</v>
      </c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>
      <c r="A9" s="21" t="s">
        <v>109</v>
      </c>
      <c r="B9" s="20">
        <v>12.95</v>
      </c>
      <c r="C9" s="20">
        <v>6.0</v>
      </c>
      <c r="D9" s="19"/>
      <c r="E9" s="19"/>
      <c r="F9" s="19" t="str">
        <f t="shared" si="2"/>
        <v>Spicy Beef Chow Fun 12.95 $12.95 6 orders</v>
      </c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>
      <c r="A10" s="21"/>
      <c r="B10" s="20"/>
      <c r="C10" s="20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>
      <c r="A11" s="21" t="s">
        <v>110</v>
      </c>
      <c r="B11" s="20">
        <v>35.95</v>
      </c>
      <c r="C11" s="20">
        <v>6.0</v>
      </c>
      <c r="D11" s="19"/>
      <c r="E11" s="19"/>
      <c r="F11" s="19" t="str">
        <f t="shared" ref="F11:F12" si="3">CONCATENATE(A11, " $",B11," ",C11," orders")</f>
        <v>Fried Triple Shrimp, Scallop, Squid $35.95 $35.95 6 orders</v>
      </c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>
      <c r="A12" s="21" t="s">
        <v>111</v>
      </c>
      <c r="B12" s="20">
        <v>24.95</v>
      </c>
      <c r="C12" s="20">
        <v>6.0</v>
      </c>
      <c r="D12" s="19"/>
      <c r="E12" s="19"/>
      <c r="F12" s="19" t="str">
        <f t="shared" si="3"/>
        <v>No. 5 Steamed Sea Bass $24.95 $24.95 6 orders</v>
      </c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>
      <c r="A13" s="22" t="s">
        <v>112</v>
      </c>
      <c r="B13" s="23">
        <v>24.95</v>
      </c>
      <c r="C13" s="23">
        <v>6.0</v>
      </c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>
      <c r="A14" s="21"/>
      <c r="B14" s="20"/>
      <c r="C14" s="20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>
      <c r="A15" s="21" t="s">
        <v>113</v>
      </c>
      <c r="B15" s="20">
        <v>16.95</v>
      </c>
      <c r="C15" s="20">
        <v>6.0</v>
      </c>
      <c r="D15" s="19"/>
      <c r="E15" s="19"/>
      <c r="F15" s="19" t="str">
        <f t="shared" ref="F15:F18" si="4">CONCATENATE(A15, " $",B15," ",C15," orders")</f>
        <v>No 4 Whole Crispy Fried Chicken Cantonese Style 16.95 $16.95 6 orders</v>
      </c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>
      <c r="A16" s="21" t="s">
        <v>114</v>
      </c>
      <c r="B16" s="20">
        <v>27.95</v>
      </c>
      <c r="C16" s="20">
        <v>6.0</v>
      </c>
      <c r="D16" s="19"/>
      <c r="E16" s="19"/>
      <c r="F16" s="19" t="str">
        <f t="shared" si="4"/>
        <v>Sizzling Beef Woody Style 27.95 $27.95 6 orders</v>
      </c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>
      <c r="A17" s="24" t="s">
        <v>115</v>
      </c>
      <c r="B17" s="24">
        <v>16.95</v>
      </c>
      <c r="C17" s="24">
        <v>6.0</v>
      </c>
      <c r="D17" s="19"/>
      <c r="E17" s="19"/>
      <c r="F17" s="19" t="str">
        <f t="shared" si="4"/>
        <v>Peking Sauce Pork Chop $16.95 6 orders</v>
      </c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>
      <c r="A18" s="21" t="s">
        <v>116</v>
      </c>
      <c r="B18" s="20">
        <v>55.95</v>
      </c>
      <c r="C18" s="20">
        <v>6.0</v>
      </c>
      <c r="D18" s="19"/>
      <c r="E18" s="19"/>
      <c r="F18" s="19" t="str">
        <f t="shared" si="4"/>
        <v>No 1 Peking Duck 55.95 $55.95 6 orders</v>
      </c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>
      <c r="A21" s="19"/>
      <c r="B21" s="19"/>
      <c r="C21" s="25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>
      <c r="A22" s="19"/>
      <c r="B22" s="19"/>
      <c r="C22" s="19">
        <f>SUMPRODUCT(C1:C18,B1:B18)</f>
        <v>1843.8</v>
      </c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5">
      <c r="B25" s="4" t="s">
        <v>117</v>
      </c>
      <c r="C25" s="26">
        <f>C22*0.08</f>
        <v>147.504</v>
      </c>
    </row>
    <row r="26">
      <c r="B26" s="4" t="s">
        <v>118</v>
      </c>
      <c r="C26" s="26">
        <f>C22*0.25</f>
        <v>460.95</v>
      </c>
    </row>
    <row r="28">
      <c r="C28" s="26">
        <f>SUM(C22:C26)</f>
        <v>2452.254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13"/>
    <col customWidth="1" min="4" max="4" width="20.13"/>
    <col customWidth="1" min="5" max="5" width="11.88"/>
  </cols>
  <sheetData>
    <row r="1">
      <c r="A1" s="27" t="s">
        <v>119</v>
      </c>
    </row>
    <row r="2">
      <c r="A2" s="28"/>
    </row>
    <row r="3">
      <c r="A3" s="27" t="s">
        <v>120</v>
      </c>
      <c r="B3" s="4">
        <v>800.0</v>
      </c>
      <c r="D3" s="4"/>
      <c r="E3" s="4">
        <v>800.0</v>
      </c>
      <c r="F3" s="4" t="s">
        <v>121</v>
      </c>
    </row>
    <row r="4">
      <c r="A4" s="27" t="s">
        <v>122</v>
      </c>
      <c r="B4" s="4">
        <v>23000.0</v>
      </c>
      <c r="D4" s="4" t="s">
        <v>123</v>
      </c>
      <c r="E4" s="26">
        <f>B4*0.4</f>
        <v>9200</v>
      </c>
      <c r="F4" s="4" t="s">
        <v>121</v>
      </c>
    </row>
    <row r="5">
      <c r="A5" s="27" t="s">
        <v>124</v>
      </c>
      <c r="B5" s="4">
        <v>4600.0</v>
      </c>
      <c r="D5" s="4" t="s">
        <v>125</v>
      </c>
      <c r="E5" s="26">
        <f>(B4-E4)+B5+B6</f>
        <v>20450</v>
      </c>
      <c r="F5" s="4" t="s">
        <v>126</v>
      </c>
    </row>
    <row r="6">
      <c r="A6" s="27" t="s">
        <v>117</v>
      </c>
      <c r="B6" s="4">
        <v>2050.0</v>
      </c>
    </row>
    <row r="7">
      <c r="A7" s="27" t="s">
        <v>127</v>
      </c>
      <c r="B7" s="4">
        <v>4000.0</v>
      </c>
      <c r="D7" s="4" t="s">
        <v>128</v>
      </c>
      <c r="E7" s="4">
        <v>1000.0</v>
      </c>
      <c r="F7" s="4" t="s">
        <v>121</v>
      </c>
    </row>
    <row r="8">
      <c r="A8" s="27" t="s">
        <v>39</v>
      </c>
      <c r="B8" s="4">
        <v>3180.0</v>
      </c>
      <c r="D8" s="4" t="s">
        <v>125</v>
      </c>
      <c r="E8" s="26">
        <f>B7-E7</f>
        <v>3000</v>
      </c>
      <c r="F8" s="4" t="s">
        <v>126</v>
      </c>
    </row>
    <row r="9">
      <c r="A9" s="27" t="s">
        <v>129</v>
      </c>
      <c r="B9" s="4">
        <v>912.0</v>
      </c>
    </row>
    <row r="10">
      <c r="A10" s="27" t="s">
        <v>130</v>
      </c>
      <c r="B10" s="4">
        <v>700.0</v>
      </c>
      <c r="D10" s="5" t="s">
        <v>131</v>
      </c>
      <c r="E10" s="4" t="s">
        <v>132</v>
      </c>
    </row>
    <row r="11">
      <c r="A11" s="27" t="s">
        <v>133</v>
      </c>
      <c r="B11" s="4">
        <v>300.0</v>
      </c>
    </row>
    <row r="12">
      <c r="A12" s="27"/>
    </row>
    <row r="13">
      <c r="A13" s="27" t="s">
        <v>134</v>
      </c>
      <c r="B13" s="26">
        <f>SUM(B3:B12)</f>
        <v>39542</v>
      </c>
    </row>
    <row r="15">
      <c r="A15" s="27" t="s">
        <v>135</v>
      </c>
      <c r="B15" s="26">
        <f>B13-25000</f>
        <v>14542</v>
      </c>
    </row>
    <row r="16">
      <c r="A16" s="27" t="s">
        <v>136</v>
      </c>
      <c r="B16" s="26">
        <f>B15/2</f>
        <v>7271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25.25"/>
    <col customWidth="1" min="3" max="3" width="27.0"/>
  </cols>
  <sheetData>
    <row r="1">
      <c r="A1" s="27" t="s">
        <v>127</v>
      </c>
    </row>
    <row r="2">
      <c r="A2" s="4" t="s">
        <v>137</v>
      </c>
      <c r="B2" s="4" t="s">
        <v>138</v>
      </c>
    </row>
    <row r="3">
      <c r="B3" s="6" t="s">
        <v>139</v>
      </c>
    </row>
    <row r="5">
      <c r="A5" s="27" t="s">
        <v>140</v>
      </c>
    </row>
    <row r="6">
      <c r="A6" s="4" t="s">
        <v>20</v>
      </c>
      <c r="B6" s="4" t="s">
        <v>141</v>
      </c>
    </row>
    <row r="7">
      <c r="B7" s="4" t="s">
        <v>142</v>
      </c>
      <c r="C7" s="4" t="s">
        <v>143</v>
      </c>
      <c r="D7" s="4" t="s">
        <v>144</v>
      </c>
    </row>
    <row r="9">
      <c r="A9" s="27" t="s">
        <v>145</v>
      </c>
    </row>
    <row r="10">
      <c r="A10" s="4" t="s">
        <v>146</v>
      </c>
      <c r="B10" s="4" t="s">
        <v>147</v>
      </c>
    </row>
    <row r="12">
      <c r="A12" s="27" t="s">
        <v>148</v>
      </c>
    </row>
    <row r="13">
      <c r="A13" s="4" t="s">
        <v>8</v>
      </c>
      <c r="B13" s="4" t="s">
        <v>149</v>
      </c>
    </row>
    <row r="14">
      <c r="A14" s="4"/>
      <c r="B14" s="4" t="s">
        <v>150</v>
      </c>
    </row>
    <row r="15">
      <c r="A15" s="4"/>
    </row>
    <row r="16">
      <c r="A16" s="4"/>
    </row>
    <row r="17">
      <c r="A17" s="27" t="s">
        <v>151</v>
      </c>
    </row>
    <row r="18">
      <c r="A18" s="4" t="s">
        <v>152</v>
      </c>
      <c r="B18" s="4" t="s">
        <v>153</v>
      </c>
    </row>
    <row r="19">
      <c r="B19" s="4" t="s">
        <v>154</v>
      </c>
    </row>
    <row r="20">
      <c r="B20" s="17"/>
    </row>
    <row r="24">
      <c r="A24" s="4"/>
    </row>
    <row r="25">
      <c r="A25" s="27" t="s">
        <v>155</v>
      </c>
    </row>
    <row r="26">
      <c r="B26" s="4" t="s">
        <v>156</v>
      </c>
    </row>
    <row r="27">
      <c r="B27" s="4" t="s">
        <v>157</v>
      </c>
      <c r="C27" s="4" t="s">
        <v>158</v>
      </c>
    </row>
    <row r="28">
      <c r="B28" s="4" t="s">
        <v>60</v>
      </c>
      <c r="C28" s="4" t="s">
        <v>159</v>
      </c>
    </row>
    <row r="29">
      <c r="A29" s="4"/>
      <c r="B29" s="4" t="s">
        <v>160</v>
      </c>
    </row>
    <row r="30">
      <c r="A30" s="4"/>
      <c r="B30" s="4" t="s">
        <v>161</v>
      </c>
    </row>
    <row r="31">
      <c r="A31" s="4"/>
      <c r="B31" s="4" t="s">
        <v>162</v>
      </c>
    </row>
    <row r="32">
      <c r="A32" s="4"/>
    </row>
    <row r="33">
      <c r="A33" s="27" t="s">
        <v>27</v>
      </c>
    </row>
    <row r="34">
      <c r="B34" s="4" t="s">
        <v>163</v>
      </c>
    </row>
    <row r="35">
      <c r="B35" s="4" t="s">
        <v>164</v>
      </c>
      <c r="C35" s="4" t="s">
        <v>144</v>
      </c>
    </row>
    <row r="36">
      <c r="B36" s="4" t="s">
        <v>165</v>
      </c>
      <c r="C36" s="4" t="s">
        <v>143</v>
      </c>
    </row>
    <row r="37">
      <c r="B37" s="4" t="s">
        <v>166</v>
      </c>
    </row>
    <row r="38">
      <c r="B38" s="4" t="s">
        <v>167</v>
      </c>
    </row>
    <row r="39">
      <c r="B39" s="4" t="s">
        <v>168</v>
      </c>
    </row>
    <row r="40">
      <c r="B40" s="6" t="s">
        <v>169</v>
      </c>
    </row>
    <row r="41">
      <c r="B41" s="4" t="s">
        <v>170</v>
      </c>
    </row>
    <row r="42">
      <c r="B42" s="4" t="s">
        <v>171</v>
      </c>
    </row>
    <row r="45">
      <c r="A45" s="27" t="s">
        <v>172</v>
      </c>
    </row>
    <row r="46">
      <c r="A46" s="4" t="s">
        <v>14</v>
      </c>
      <c r="B46" s="6" t="s">
        <v>173</v>
      </c>
    </row>
    <row r="48">
      <c r="A48" s="27" t="s">
        <v>174</v>
      </c>
    </row>
    <row r="49">
      <c r="B49" s="4" t="s">
        <v>175</v>
      </c>
      <c r="C49" s="4" t="s">
        <v>176</v>
      </c>
      <c r="D49" s="4" t="s">
        <v>177</v>
      </c>
    </row>
    <row r="50">
      <c r="B50" s="4" t="s">
        <v>178</v>
      </c>
    </row>
    <row r="51">
      <c r="B51" s="4" t="s">
        <v>179</v>
      </c>
    </row>
    <row r="52">
      <c r="B52" s="4" t="s">
        <v>180</v>
      </c>
    </row>
    <row r="53">
      <c r="B53" s="4" t="s">
        <v>181</v>
      </c>
      <c r="C53" s="4" t="s">
        <v>182</v>
      </c>
    </row>
    <row r="54">
      <c r="B54" s="4" t="s">
        <v>183</v>
      </c>
      <c r="C54" s="4" t="s">
        <v>184</v>
      </c>
    </row>
    <row r="57">
      <c r="A57" s="27" t="s">
        <v>60</v>
      </c>
    </row>
    <row r="58">
      <c r="A58" s="4" t="s">
        <v>185</v>
      </c>
      <c r="B58" s="5" t="s">
        <v>186</v>
      </c>
    </row>
    <row r="59">
      <c r="B59" s="5" t="s">
        <v>187</v>
      </c>
    </row>
    <row r="60">
      <c r="B60" s="4" t="s">
        <v>188</v>
      </c>
    </row>
  </sheetData>
  <hyperlinks>
    <hyperlink r:id="rId1" ref="B3"/>
    <hyperlink r:id="rId2" ref="B40"/>
    <hyperlink r:id="rId3" ref="B46"/>
  </hyperlinks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27.63"/>
    <col customWidth="1" min="3" max="3" width="22.75"/>
    <col customWidth="1" min="4" max="4" width="22.63"/>
    <col customWidth="1" min="5" max="5" width="21.38"/>
  </cols>
  <sheetData>
    <row r="1">
      <c r="A1" s="29"/>
      <c r="B1" s="29"/>
      <c r="C1" s="29"/>
      <c r="D1" s="4">
        <f>COUNTA(A3:A62)</f>
        <v>60</v>
      </c>
      <c r="E1" s="4">
        <f>COUNTIF(E2:E294, "NO")</f>
        <v>50</v>
      </c>
    </row>
    <row r="2">
      <c r="A2" s="29" t="s">
        <v>189</v>
      </c>
      <c r="B2" s="29" t="s">
        <v>190</v>
      </c>
      <c r="C2" s="29" t="s">
        <v>55</v>
      </c>
      <c r="D2" s="4" t="s">
        <v>191</v>
      </c>
      <c r="E2" s="4" t="s">
        <v>192</v>
      </c>
    </row>
    <row r="3">
      <c r="A3" s="30" t="s">
        <v>193</v>
      </c>
      <c r="B3" s="30" t="s">
        <v>194</v>
      </c>
      <c r="C3" s="30" t="s">
        <v>195</v>
      </c>
      <c r="D3" s="4" t="s">
        <v>74</v>
      </c>
    </row>
    <row r="4">
      <c r="A4" s="30" t="s">
        <v>196</v>
      </c>
      <c r="B4" s="30" t="s">
        <v>197</v>
      </c>
      <c r="C4" s="30" t="s">
        <v>195</v>
      </c>
      <c r="D4" s="4" t="s">
        <v>74</v>
      </c>
    </row>
    <row r="5">
      <c r="A5" s="30" t="s">
        <v>198</v>
      </c>
      <c r="B5" s="30" t="s">
        <v>199</v>
      </c>
      <c r="C5" s="30" t="s">
        <v>195</v>
      </c>
      <c r="D5" s="4" t="s">
        <v>74</v>
      </c>
    </row>
    <row r="6">
      <c r="A6" s="30" t="s">
        <v>200</v>
      </c>
      <c r="B6" s="30" t="s">
        <v>201</v>
      </c>
      <c r="C6" s="30" t="s">
        <v>195</v>
      </c>
      <c r="D6" s="4" t="s">
        <v>74</v>
      </c>
    </row>
    <row r="7">
      <c r="A7" s="30" t="s">
        <v>202</v>
      </c>
      <c r="B7" s="30" t="s">
        <v>199</v>
      </c>
      <c r="C7" s="30" t="s">
        <v>195</v>
      </c>
      <c r="D7" s="4" t="s">
        <v>74</v>
      </c>
    </row>
    <row r="8">
      <c r="A8" s="30" t="s">
        <v>203</v>
      </c>
      <c r="B8" s="30" t="s">
        <v>197</v>
      </c>
      <c r="C8" s="30" t="s">
        <v>195</v>
      </c>
      <c r="D8" s="4" t="s">
        <v>74</v>
      </c>
    </row>
    <row r="9">
      <c r="A9" s="30" t="s">
        <v>203</v>
      </c>
      <c r="B9" s="30" t="s">
        <v>204</v>
      </c>
      <c r="C9" s="30" t="s">
        <v>195</v>
      </c>
      <c r="D9" s="4" t="s">
        <v>74</v>
      </c>
    </row>
    <row r="10">
      <c r="A10" s="30" t="s">
        <v>205</v>
      </c>
      <c r="B10" s="30" t="s">
        <v>206</v>
      </c>
      <c r="C10" s="30" t="s">
        <v>195</v>
      </c>
      <c r="D10" s="4" t="s">
        <v>74</v>
      </c>
    </row>
    <row r="11">
      <c r="A11" s="30" t="s">
        <v>207</v>
      </c>
      <c r="B11" s="30" t="s">
        <v>208</v>
      </c>
      <c r="C11" s="30" t="s">
        <v>195</v>
      </c>
      <c r="D11" s="4" t="s">
        <v>74</v>
      </c>
    </row>
    <row r="12">
      <c r="A12" s="30" t="s">
        <v>209</v>
      </c>
      <c r="B12" s="30" t="s">
        <v>210</v>
      </c>
      <c r="C12" s="30" t="s">
        <v>195</v>
      </c>
      <c r="D12" s="4" t="s">
        <v>74</v>
      </c>
    </row>
    <row r="13">
      <c r="A13" s="30" t="s">
        <v>211</v>
      </c>
      <c r="B13" s="30" t="s">
        <v>212</v>
      </c>
      <c r="C13" s="30" t="s">
        <v>195</v>
      </c>
      <c r="D13" s="4" t="s">
        <v>74</v>
      </c>
    </row>
    <row r="14">
      <c r="A14" s="30" t="s">
        <v>213</v>
      </c>
      <c r="B14" s="30" t="s">
        <v>214</v>
      </c>
      <c r="C14" s="30" t="s">
        <v>195</v>
      </c>
      <c r="D14" s="4" t="s">
        <v>74</v>
      </c>
    </row>
    <row r="15">
      <c r="A15" s="30" t="s">
        <v>215</v>
      </c>
      <c r="B15" s="30" t="s">
        <v>216</v>
      </c>
      <c r="C15" s="30" t="s">
        <v>195</v>
      </c>
      <c r="D15" s="4" t="s">
        <v>74</v>
      </c>
    </row>
    <row r="16">
      <c r="A16" s="30" t="s">
        <v>217</v>
      </c>
      <c r="B16" s="30" t="s">
        <v>218</v>
      </c>
      <c r="C16" s="30" t="s">
        <v>195</v>
      </c>
      <c r="D16" s="4" t="s">
        <v>74</v>
      </c>
    </row>
    <row r="17">
      <c r="A17" s="30" t="s">
        <v>219</v>
      </c>
      <c r="B17" s="30" t="s">
        <v>220</v>
      </c>
      <c r="C17" s="30" t="s">
        <v>195</v>
      </c>
      <c r="D17" s="4" t="s">
        <v>74</v>
      </c>
    </row>
    <row r="18">
      <c r="A18" s="30" t="s">
        <v>221</v>
      </c>
      <c r="B18" s="30" t="s">
        <v>222</v>
      </c>
      <c r="C18" s="30" t="s">
        <v>195</v>
      </c>
      <c r="D18" s="4" t="s">
        <v>74</v>
      </c>
    </row>
    <row r="19">
      <c r="A19" s="30" t="s">
        <v>223</v>
      </c>
      <c r="B19" s="30" t="s">
        <v>224</v>
      </c>
      <c r="C19" s="30" t="s">
        <v>195</v>
      </c>
      <c r="D19" s="4" t="s">
        <v>74</v>
      </c>
    </row>
    <row r="20">
      <c r="A20" s="30" t="s">
        <v>225</v>
      </c>
      <c r="B20" s="30" t="s">
        <v>226</v>
      </c>
      <c r="C20" s="30" t="s">
        <v>195</v>
      </c>
      <c r="D20" s="4" t="s">
        <v>74</v>
      </c>
    </row>
    <row r="21">
      <c r="A21" s="30" t="s">
        <v>227</v>
      </c>
      <c r="B21" s="30" t="s">
        <v>228</v>
      </c>
      <c r="C21" s="30" t="s">
        <v>195</v>
      </c>
      <c r="D21" s="4" t="s">
        <v>74</v>
      </c>
    </row>
    <row r="22">
      <c r="A22" s="30" t="s">
        <v>229</v>
      </c>
      <c r="B22" s="30" t="s">
        <v>230</v>
      </c>
      <c r="C22" s="30" t="s">
        <v>195</v>
      </c>
      <c r="D22" s="4" t="s">
        <v>74</v>
      </c>
    </row>
    <row r="23">
      <c r="A23" s="30" t="s">
        <v>231</v>
      </c>
      <c r="B23" s="30" t="s">
        <v>232</v>
      </c>
      <c r="C23" s="30" t="s">
        <v>195</v>
      </c>
      <c r="D23" s="4" t="s">
        <v>74</v>
      </c>
    </row>
    <row r="24">
      <c r="A24" s="30" t="s">
        <v>233</v>
      </c>
      <c r="B24" s="30" t="s">
        <v>224</v>
      </c>
      <c r="C24" s="30" t="s">
        <v>195</v>
      </c>
      <c r="D24" s="4" t="s">
        <v>74</v>
      </c>
    </row>
    <row r="25">
      <c r="A25" s="30" t="s">
        <v>14</v>
      </c>
      <c r="B25" s="30" t="s">
        <v>197</v>
      </c>
      <c r="C25" s="30" t="s">
        <v>195</v>
      </c>
      <c r="D25" s="4" t="s">
        <v>74</v>
      </c>
    </row>
    <row r="26">
      <c r="A26" s="30" t="s">
        <v>234</v>
      </c>
      <c r="B26" s="30" t="s">
        <v>235</v>
      </c>
      <c r="C26" s="30" t="s">
        <v>195</v>
      </c>
      <c r="D26" s="4" t="s">
        <v>74</v>
      </c>
    </row>
    <row r="27">
      <c r="A27" s="30" t="s">
        <v>236</v>
      </c>
      <c r="B27" s="30" t="s">
        <v>206</v>
      </c>
      <c r="C27" s="30" t="s">
        <v>195</v>
      </c>
      <c r="D27" s="4" t="s">
        <v>74</v>
      </c>
    </row>
    <row r="28">
      <c r="A28" s="30" t="s">
        <v>237</v>
      </c>
      <c r="B28" s="30" t="s">
        <v>238</v>
      </c>
      <c r="C28" s="30" t="s">
        <v>195</v>
      </c>
      <c r="D28" s="4" t="s">
        <v>74</v>
      </c>
    </row>
    <row r="29">
      <c r="A29" s="30" t="s">
        <v>239</v>
      </c>
      <c r="B29" s="30" t="s">
        <v>238</v>
      </c>
      <c r="C29" s="30" t="s">
        <v>195</v>
      </c>
      <c r="D29" s="4" t="s">
        <v>74</v>
      </c>
    </row>
    <row r="30">
      <c r="A30" s="30" t="s">
        <v>239</v>
      </c>
      <c r="B30" s="30" t="s">
        <v>240</v>
      </c>
      <c r="C30" s="30" t="s">
        <v>195</v>
      </c>
      <c r="D30" s="4" t="s">
        <v>74</v>
      </c>
    </row>
    <row r="31">
      <c r="A31" s="30" t="s">
        <v>241</v>
      </c>
      <c r="B31" s="30" t="s">
        <v>242</v>
      </c>
      <c r="C31" s="30" t="s">
        <v>195</v>
      </c>
      <c r="D31" s="4" t="s">
        <v>74</v>
      </c>
    </row>
    <row r="32">
      <c r="A32" s="30" t="s">
        <v>243</v>
      </c>
      <c r="B32" s="30" t="s">
        <v>244</v>
      </c>
      <c r="C32" s="30" t="s">
        <v>195</v>
      </c>
      <c r="D32" s="4" t="s">
        <v>74</v>
      </c>
    </row>
    <row r="33">
      <c r="A33" s="30" t="s">
        <v>245</v>
      </c>
      <c r="B33" s="30" t="s">
        <v>246</v>
      </c>
      <c r="C33" s="30" t="s">
        <v>195</v>
      </c>
      <c r="D33" s="4" t="s">
        <v>74</v>
      </c>
    </row>
    <row r="34">
      <c r="A34" s="30" t="s">
        <v>247</v>
      </c>
      <c r="B34" s="30" t="s">
        <v>224</v>
      </c>
      <c r="C34" s="30" t="s">
        <v>195</v>
      </c>
      <c r="D34" s="4" t="s">
        <v>74</v>
      </c>
    </row>
    <row r="35">
      <c r="A35" s="30" t="s">
        <v>248</v>
      </c>
      <c r="B35" s="30" t="s">
        <v>199</v>
      </c>
      <c r="C35" s="30" t="s">
        <v>195</v>
      </c>
      <c r="D35" s="4" t="s">
        <v>74</v>
      </c>
    </row>
    <row r="36">
      <c r="A36" s="30" t="s">
        <v>249</v>
      </c>
      <c r="B36" s="30" t="s">
        <v>197</v>
      </c>
      <c r="C36" s="30" t="s">
        <v>195</v>
      </c>
      <c r="D36" s="4" t="s">
        <v>74</v>
      </c>
    </row>
    <row r="37">
      <c r="A37" s="30" t="s">
        <v>250</v>
      </c>
      <c r="B37" s="30" t="s">
        <v>251</v>
      </c>
      <c r="C37" s="30" t="s">
        <v>195</v>
      </c>
      <c r="D37" s="4" t="s">
        <v>74</v>
      </c>
    </row>
    <row r="38">
      <c r="A38" s="30" t="s">
        <v>252</v>
      </c>
      <c r="B38" s="30" t="s">
        <v>253</v>
      </c>
      <c r="C38" s="30" t="s">
        <v>195</v>
      </c>
      <c r="D38" s="4" t="s">
        <v>74</v>
      </c>
    </row>
    <row r="39">
      <c r="A39" s="30" t="s">
        <v>254</v>
      </c>
      <c r="B39" s="30" t="s">
        <v>199</v>
      </c>
      <c r="C39" s="30" t="s">
        <v>195</v>
      </c>
      <c r="D39" s="4" t="s">
        <v>74</v>
      </c>
    </row>
    <row r="40">
      <c r="A40" s="30" t="s">
        <v>158</v>
      </c>
      <c r="B40" s="30" t="s">
        <v>253</v>
      </c>
      <c r="C40" s="30" t="s">
        <v>195</v>
      </c>
      <c r="D40" s="4" t="s">
        <v>74</v>
      </c>
    </row>
    <row r="41">
      <c r="A41" s="30" t="s">
        <v>255</v>
      </c>
      <c r="B41" s="30" t="s">
        <v>256</v>
      </c>
      <c r="C41" s="30" t="s">
        <v>195</v>
      </c>
      <c r="D41" s="4" t="s">
        <v>74</v>
      </c>
    </row>
    <row r="42">
      <c r="A42" s="30" t="s">
        <v>257</v>
      </c>
      <c r="B42" s="30" t="s">
        <v>256</v>
      </c>
      <c r="C42" s="30" t="s">
        <v>195</v>
      </c>
      <c r="D42" s="4" t="s">
        <v>74</v>
      </c>
    </row>
    <row r="43">
      <c r="A43" s="30" t="s">
        <v>257</v>
      </c>
      <c r="B43" s="30" t="s">
        <v>258</v>
      </c>
      <c r="C43" s="30" t="s">
        <v>195</v>
      </c>
      <c r="D43" s="4" t="s">
        <v>74</v>
      </c>
    </row>
    <row r="44">
      <c r="A44" s="30" t="s">
        <v>259</v>
      </c>
      <c r="B44" s="30" t="s">
        <v>260</v>
      </c>
      <c r="C44" s="30" t="s">
        <v>195</v>
      </c>
      <c r="D44" s="4" t="s">
        <v>74</v>
      </c>
    </row>
    <row r="45">
      <c r="A45" s="30" t="s">
        <v>261</v>
      </c>
      <c r="B45" s="30" t="s">
        <v>258</v>
      </c>
      <c r="C45" s="30" t="s">
        <v>195</v>
      </c>
      <c r="D45" s="4" t="s">
        <v>74</v>
      </c>
    </row>
    <row r="46">
      <c r="A46" s="30" t="s">
        <v>262</v>
      </c>
      <c r="B46" s="30" t="s">
        <v>263</v>
      </c>
      <c r="C46" s="30" t="s">
        <v>195</v>
      </c>
      <c r="D46" s="4" t="s">
        <v>74</v>
      </c>
      <c r="E46" s="4"/>
    </row>
    <row r="47">
      <c r="A47" s="4" t="s">
        <v>264</v>
      </c>
      <c r="B47" s="4" t="s">
        <v>265</v>
      </c>
      <c r="C47" s="4" t="s">
        <v>266</v>
      </c>
      <c r="D47" s="4" t="s">
        <v>74</v>
      </c>
    </row>
    <row r="48">
      <c r="A48" s="30" t="s">
        <v>267</v>
      </c>
      <c r="B48" s="30" t="s">
        <v>268</v>
      </c>
      <c r="C48" s="30" t="s">
        <v>195</v>
      </c>
      <c r="D48" s="4" t="s">
        <v>74</v>
      </c>
      <c r="E48" s="4"/>
    </row>
    <row r="49">
      <c r="A49" s="30" t="s">
        <v>269</v>
      </c>
      <c r="B49" s="30" t="s">
        <v>270</v>
      </c>
      <c r="C49" s="30" t="s">
        <v>195</v>
      </c>
      <c r="D49" s="4" t="s">
        <v>74</v>
      </c>
      <c r="E49" s="4"/>
    </row>
    <row r="50">
      <c r="A50" s="30" t="s">
        <v>271</v>
      </c>
      <c r="B50" s="30" t="s">
        <v>272</v>
      </c>
      <c r="C50" s="30" t="s">
        <v>195</v>
      </c>
      <c r="D50" s="4" t="s">
        <v>74</v>
      </c>
      <c r="E50" s="4" t="s">
        <v>273</v>
      </c>
    </row>
    <row r="51">
      <c r="A51" s="4" t="s">
        <v>274</v>
      </c>
      <c r="B51" s="4" t="s">
        <v>275</v>
      </c>
      <c r="C51" s="30" t="s">
        <v>195</v>
      </c>
      <c r="D51" s="4" t="s">
        <v>74</v>
      </c>
      <c r="E51" s="4"/>
    </row>
    <row r="52">
      <c r="A52" s="30" t="s">
        <v>276</v>
      </c>
      <c r="B52" s="30" t="s">
        <v>277</v>
      </c>
      <c r="C52" s="30" t="s">
        <v>195</v>
      </c>
      <c r="D52" s="4" t="s">
        <v>74</v>
      </c>
      <c r="E52" s="4"/>
    </row>
    <row r="53">
      <c r="A53" s="30" t="s">
        <v>278</v>
      </c>
      <c r="B53" s="30" t="s">
        <v>279</v>
      </c>
      <c r="C53" s="30" t="s">
        <v>195</v>
      </c>
      <c r="D53" s="4" t="s">
        <v>74</v>
      </c>
      <c r="E53" s="4"/>
    </row>
    <row r="54">
      <c r="A54" s="30" t="s">
        <v>205</v>
      </c>
      <c r="B54" s="30" t="s">
        <v>280</v>
      </c>
      <c r="C54" s="30" t="s">
        <v>195</v>
      </c>
      <c r="D54" s="4" t="s">
        <v>74</v>
      </c>
      <c r="E54" s="4"/>
    </row>
    <row r="55">
      <c r="A55" s="30" t="s">
        <v>248</v>
      </c>
      <c r="B55" s="30" t="s">
        <v>281</v>
      </c>
      <c r="C55" s="30" t="s">
        <v>195</v>
      </c>
      <c r="D55" s="4" t="s">
        <v>74</v>
      </c>
      <c r="E55" s="31"/>
      <c r="F55" s="32"/>
      <c r="G55" s="32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</row>
    <row r="56">
      <c r="A56" s="30" t="s">
        <v>282</v>
      </c>
      <c r="B56" s="30" t="s">
        <v>283</v>
      </c>
      <c r="C56" s="30" t="s">
        <v>195</v>
      </c>
      <c r="D56" s="4" t="s">
        <v>74</v>
      </c>
    </row>
    <row r="57">
      <c r="A57" s="30" t="s">
        <v>284</v>
      </c>
      <c r="B57" s="30" t="s">
        <v>283</v>
      </c>
      <c r="C57" s="30" t="s">
        <v>195</v>
      </c>
      <c r="D57" s="4" t="s">
        <v>74</v>
      </c>
    </row>
    <row r="58">
      <c r="A58" s="30" t="s">
        <v>285</v>
      </c>
      <c r="B58" s="30" t="s">
        <v>286</v>
      </c>
      <c r="C58" s="30" t="s">
        <v>195</v>
      </c>
      <c r="D58" s="4" t="s">
        <v>53</v>
      </c>
      <c r="E58" s="4"/>
    </row>
    <row r="59">
      <c r="A59" s="4" t="s">
        <v>207</v>
      </c>
      <c r="B59" s="4" t="s">
        <v>275</v>
      </c>
      <c r="C59" s="30" t="s">
        <v>266</v>
      </c>
      <c r="D59" s="4" t="s">
        <v>53</v>
      </c>
      <c r="E59" s="4"/>
      <c r="U59" s="19"/>
      <c r="V59" s="19"/>
      <c r="W59" s="19"/>
      <c r="X59" s="19"/>
    </row>
    <row r="60">
      <c r="A60" s="30" t="s">
        <v>287</v>
      </c>
      <c r="B60" s="30" t="s">
        <v>288</v>
      </c>
      <c r="C60" s="30" t="s">
        <v>195</v>
      </c>
      <c r="D60" s="4" t="s">
        <v>53</v>
      </c>
      <c r="E60" s="4"/>
    </row>
    <row r="61">
      <c r="A61" s="30" t="s">
        <v>289</v>
      </c>
      <c r="B61" s="30" t="s">
        <v>290</v>
      </c>
      <c r="C61" s="30" t="s">
        <v>195</v>
      </c>
      <c r="D61" s="4" t="s">
        <v>53</v>
      </c>
      <c r="E61" s="4"/>
    </row>
    <row r="62">
      <c r="A62" s="30" t="s">
        <v>291</v>
      </c>
      <c r="B62" s="30" t="s">
        <v>292</v>
      </c>
      <c r="C62" s="30" t="s">
        <v>195</v>
      </c>
      <c r="D62" s="4" t="s">
        <v>74</v>
      </c>
    </row>
    <row r="63">
      <c r="A63" s="30"/>
      <c r="B63" s="30"/>
      <c r="C63" s="30"/>
      <c r="E63" s="4"/>
    </row>
    <row r="64">
      <c r="A64" s="30"/>
      <c r="B64" s="30"/>
      <c r="C64" s="30"/>
      <c r="E64" s="4"/>
    </row>
    <row r="65">
      <c r="A65" s="30"/>
      <c r="B65" s="30"/>
      <c r="C65" s="30"/>
      <c r="E65" s="4"/>
    </row>
    <row r="66">
      <c r="A66" s="30" t="s">
        <v>287</v>
      </c>
      <c r="B66" s="30" t="s">
        <v>293</v>
      </c>
      <c r="C66" s="30" t="s">
        <v>195</v>
      </c>
      <c r="D66" s="4"/>
      <c r="E66" s="4" t="s">
        <v>294</v>
      </c>
    </row>
    <row r="67">
      <c r="A67" s="30" t="s">
        <v>295</v>
      </c>
      <c r="B67" s="30" t="s">
        <v>296</v>
      </c>
      <c r="C67" s="30" t="s">
        <v>195</v>
      </c>
      <c r="D67" s="4"/>
      <c r="E67" s="4" t="s">
        <v>294</v>
      </c>
    </row>
    <row r="68">
      <c r="A68" s="30" t="s">
        <v>297</v>
      </c>
      <c r="B68" s="30"/>
      <c r="C68" s="30" t="s">
        <v>266</v>
      </c>
      <c r="D68" s="4"/>
      <c r="E68" s="4" t="s">
        <v>294</v>
      </c>
    </row>
    <row r="69">
      <c r="A69" s="30" t="s">
        <v>298</v>
      </c>
      <c r="B69" s="30"/>
      <c r="C69" s="30" t="s">
        <v>266</v>
      </c>
      <c r="D69" s="4"/>
      <c r="E69" s="4" t="s">
        <v>294</v>
      </c>
    </row>
    <row r="70">
      <c r="A70" s="30" t="s">
        <v>299</v>
      </c>
      <c r="B70" s="30" t="s">
        <v>300</v>
      </c>
      <c r="C70" s="30" t="s">
        <v>195</v>
      </c>
      <c r="E70" s="4" t="s">
        <v>294</v>
      </c>
    </row>
    <row r="71">
      <c r="A71" s="30" t="s">
        <v>301</v>
      </c>
      <c r="B71" s="30" t="s">
        <v>302</v>
      </c>
      <c r="C71" s="30" t="s">
        <v>195</v>
      </c>
      <c r="E71" s="4" t="s">
        <v>294</v>
      </c>
    </row>
    <row r="72">
      <c r="A72" s="30" t="s">
        <v>303</v>
      </c>
      <c r="B72" s="30" t="s">
        <v>300</v>
      </c>
      <c r="C72" s="30" t="s">
        <v>195</v>
      </c>
      <c r="E72" s="4" t="s">
        <v>294</v>
      </c>
    </row>
    <row r="73">
      <c r="A73" s="30" t="s">
        <v>304</v>
      </c>
      <c r="B73" s="30" t="s">
        <v>302</v>
      </c>
      <c r="C73" s="30" t="s">
        <v>195</v>
      </c>
      <c r="E73" s="4" t="s">
        <v>294</v>
      </c>
    </row>
    <row r="74">
      <c r="A74" s="30" t="s">
        <v>305</v>
      </c>
      <c r="B74" s="30" t="s">
        <v>306</v>
      </c>
      <c r="C74" s="30" t="s">
        <v>195</v>
      </c>
      <c r="E74" s="4" t="s">
        <v>294</v>
      </c>
    </row>
    <row r="75">
      <c r="A75" s="30" t="s">
        <v>146</v>
      </c>
      <c r="B75" s="30" t="s">
        <v>307</v>
      </c>
      <c r="C75" s="30" t="s">
        <v>195</v>
      </c>
      <c r="E75" s="4" t="s">
        <v>294</v>
      </c>
    </row>
    <row r="76">
      <c r="A76" s="30" t="s">
        <v>308</v>
      </c>
      <c r="B76" s="30" t="s">
        <v>309</v>
      </c>
      <c r="C76" s="30" t="s">
        <v>195</v>
      </c>
      <c r="E76" s="4" t="s">
        <v>294</v>
      </c>
    </row>
    <row r="77">
      <c r="A77" s="30" t="s">
        <v>310</v>
      </c>
      <c r="B77" s="30" t="s">
        <v>311</v>
      </c>
      <c r="C77" s="30" t="s">
        <v>195</v>
      </c>
      <c r="E77" s="4" t="s">
        <v>294</v>
      </c>
    </row>
    <row r="78">
      <c r="A78" s="30" t="s">
        <v>312</v>
      </c>
      <c r="B78" s="30" t="s">
        <v>313</v>
      </c>
      <c r="C78" s="30" t="s">
        <v>195</v>
      </c>
      <c r="E78" s="4" t="s">
        <v>294</v>
      </c>
    </row>
    <row r="79">
      <c r="A79" s="30" t="s">
        <v>314</v>
      </c>
      <c r="B79" s="30" t="s">
        <v>315</v>
      </c>
      <c r="C79" s="30" t="s">
        <v>195</v>
      </c>
      <c r="E79" s="4" t="s">
        <v>294</v>
      </c>
    </row>
    <row r="80">
      <c r="A80" s="30" t="s">
        <v>316</v>
      </c>
      <c r="B80" s="30"/>
      <c r="C80" s="30" t="s">
        <v>266</v>
      </c>
      <c r="E80" s="4" t="s">
        <v>294</v>
      </c>
    </row>
    <row r="81">
      <c r="A81" s="30" t="s">
        <v>317</v>
      </c>
      <c r="B81" s="30" t="s">
        <v>220</v>
      </c>
      <c r="C81" s="30" t="s">
        <v>195</v>
      </c>
      <c r="E81" s="4" t="s">
        <v>294</v>
      </c>
    </row>
    <row r="82">
      <c r="A82" s="30" t="s">
        <v>318</v>
      </c>
      <c r="B82" s="33"/>
      <c r="C82" s="30" t="s">
        <v>195</v>
      </c>
      <c r="E82" s="4" t="s">
        <v>294</v>
      </c>
    </row>
    <row r="83">
      <c r="A83" s="30" t="s">
        <v>319</v>
      </c>
      <c r="B83" s="30" t="s">
        <v>320</v>
      </c>
      <c r="C83" s="30" t="s">
        <v>195</v>
      </c>
      <c r="E83" s="4" t="s">
        <v>294</v>
      </c>
    </row>
    <row r="84">
      <c r="A84" s="30" t="s">
        <v>321</v>
      </c>
      <c r="B84" s="30" t="s">
        <v>322</v>
      </c>
      <c r="C84" s="30" t="s">
        <v>195</v>
      </c>
      <c r="E84" s="4" t="s">
        <v>294</v>
      </c>
    </row>
    <row r="85">
      <c r="A85" s="30" t="s">
        <v>323</v>
      </c>
      <c r="B85" s="30" t="s">
        <v>324</v>
      </c>
      <c r="C85" s="30" t="s">
        <v>195</v>
      </c>
      <c r="E85" s="4" t="s">
        <v>294</v>
      </c>
    </row>
    <row r="86">
      <c r="A86" s="30" t="s">
        <v>325</v>
      </c>
      <c r="B86" s="30" t="s">
        <v>326</v>
      </c>
      <c r="C86" s="30" t="s">
        <v>195</v>
      </c>
      <c r="E86" s="4" t="s">
        <v>294</v>
      </c>
    </row>
    <row r="87">
      <c r="A87" s="30" t="s">
        <v>327</v>
      </c>
      <c r="B87" s="30" t="s">
        <v>328</v>
      </c>
      <c r="C87" s="30" t="s">
        <v>195</v>
      </c>
      <c r="E87" s="4" t="s">
        <v>294</v>
      </c>
    </row>
    <row r="88">
      <c r="A88" s="30" t="s">
        <v>329</v>
      </c>
      <c r="B88" s="30" t="s">
        <v>328</v>
      </c>
      <c r="C88" s="30" t="s">
        <v>195</v>
      </c>
      <c r="E88" s="4" t="s">
        <v>294</v>
      </c>
    </row>
    <row r="89">
      <c r="A89" s="30" t="s">
        <v>330</v>
      </c>
      <c r="B89" s="30" t="s">
        <v>293</v>
      </c>
      <c r="C89" s="30" t="s">
        <v>195</v>
      </c>
      <c r="E89" s="4" t="s">
        <v>294</v>
      </c>
    </row>
    <row r="90">
      <c r="A90" s="30" t="s">
        <v>331</v>
      </c>
      <c r="B90" s="30" t="s">
        <v>328</v>
      </c>
      <c r="C90" s="30" t="s">
        <v>195</v>
      </c>
      <c r="E90" s="4" t="s">
        <v>294</v>
      </c>
    </row>
    <row r="91">
      <c r="A91" s="30" t="s">
        <v>332</v>
      </c>
      <c r="B91" s="30" t="s">
        <v>333</v>
      </c>
      <c r="C91" s="30" t="s">
        <v>195</v>
      </c>
      <c r="E91" s="4" t="s">
        <v>294</v>
      </c>
    </row>
    <row r="92">
      <c r="A92" s="30" t="s">
        <v>334</v>
      </c>
      <c r="B92" s="30" t="s">
        <v>335</v>
      </c>
      <c r="C92" s="30" t="s">
        <v>195</v>
      </c>
      <c r="E92" s="4" t="s">
        <v>294</v>
      </c>
    </row>
    <row r="93">
      <c r="A93" s="30" t="s">
        <v>227</v>
      </c>
      <c r="B93" s="30" t="s">
        <v>293</v>
      </c>
      <c r="C93" s="30" t="s">
        <v>195</v>
      </c>
      <c r="E93" s="4" t="s">
        <v>294</v>
      </c>
    </row>
    <row r="94">
      <c r="A94" s="30" t="s">
        <v>336</v>
      </c>
      <c r="B94" s="30" t="s">
        <v>337</v>
      </c>
      <c r="C94" s="30" t="s">
        <v>195</v>
      </c>
      <c r="E94" s="4" t="s">
        <v>294</v>
      </c>
    </row>
    <row r="95">
      <c r="A95" s="30" t="s">
        <v>338</v>
      </c>
      <c r="B95" s="30" t="s">
        <v>339</v>
      </c>
      <c r="C95" s="30" t="s">
        <v>195</v>
      </c>
      <c r="E95" s="4" t="s">
        <v>294</v>
      </c>
    </row>
    <row r="96">
      <c r="A96" s="30" t="s">
        <v>340</v>
      </c>
      <c r="B96" s="30" t="s">
        <v>341</v>
      </c>
      <c r="C96" s="30" t="s">
        <v>195</v>
      </c>
      <c r="E96" s="4" t="s">
        <v>294</v>
      </c>
    </row>
    <row r="97">
      <c r="A97" s="30" t="s">
        <v>342</v>
      </c>
      <c r="B97" s="30" t="s">
        <v>343</v>
      </c>
      <c r="C97" s="30" t="s">
        <v>195</v>
      </c>
      <c r="E97" s="4" t="s">
        <v>294</v>
      </c>
    </row>
    <row r="98">
      <c r="A98" s="30" t="s">
        <v>344</v>
      </c>
      <c r="B98" s="30" t="s">
        <v>345</v>
      </c>
      <c r="C98" s="30" t="s">
        <v>195</v>
      </c>
      <c r="E98" s="4" t="s">
        <v>294</v>
      </c>
    </row>
    <row r="99">
      <c r="A99" s="30" t="s">
        <v>346</v>
      </c>
      <c r="B99" s="30" t="s">
        <v>347</v>
      </c>
      <c r="C99" s="30" t="s">
        <v>195</v>
      </c>
      <c r="E99" s="4" t="s">
        <v>294</v>
      </c>
    </row>
    <row r="100">
      <c r="A100" s="30" t="s">
        <v>348</v>
      </c>
      <c r="B100" s="30" t="s">
        <v>349</v>
      </c>
      <c r="C100" s="30" t="s">
        <v>195</v>
      </c>
      <c r="E100" s="4" t="s">
        <v>294</v>
      </c>
    </row>
    <row r="101">
      <c r="A101" s="30" t="s">
        <v>261</v>
      </c>
      <c r="B101" s="30" t="s">
        <v>328</v>
      </c>
      <c r="C101" s="30" t="s">
        <v>195</v>
      </c>
      <c r="E101" s="4" t="s">
        <v>294</v>
      </c>
    </row>
    <row r="102">
      <c r="A102" s="30" t="s">
        <v>350</v>
      </c>
      <c r="B102" s="30" t="s">
        <v>351</v>
      </c>
      <c r="C102" s="30" t="s">
        <v>195</v>
      </c>
      <c r="E102" s="4" t="s">
        <v>294</v>
      </c>
    </row>
    <row r="103">
      <c r="A103" s="30" t="s">
        <v>352</v>
      </c>
      <c r="B103" s="30" t="s">
        <v>353</v>
      </c>
      <c r="C103" s="30" t="s">
        <v>195</v>
      </c>
      <c r="E103" s="4" t="s">
        <v>294</v>
      </c>
    </row>
    <row r="104">
      <c r="A104" s="4" t="s">
        <v>354</v>
      </c>
      <c r="B104" s="4" t="s">
        <v>355</v>
      </c>
      <c r="C104" s="4" t="s">
        <v>195</v>
      </c>
      <c r="E104" s="4" t="s">
        <v>294</v>
      </c>
    </row>
    <row r="105">
      <c r="A105" s="4" t="s">
        <v>356</v>
      </c>
      <c r="B105" s="4" t="s">
        <v>355</v>
      </c>
      <c r="C105" s="4" t="s">
        <v>195</v>
      </c>
      <c r="E105" s="4" t="s">
        <v>294</v>
      </c>
    </row>
    <row r="106">
      <c r="A106" s="30" t="s">
        <v>357</v>
      </c>
      <c r="B106" s="30" t="s">
        <v>358</v>
      </c>
      <c r="C106" s="30" t="s">
        <v>195</v>
      </c>
      <c r="E106" s="4" t="s">
        <v>294</v>
      </c>
    </row>
    <row r="107">
      <c r="A107" s="30" t="s">
        <v>359</v>
      </c>
      <c r="B107" s="30" t="s">
        <v>358</v>
      </c>
      <c r="C107" s="30" t="s">
        <v>195</v>
      </c>
      <c r="E107" s="4" t="s">
        <v>294</v>
      </c>
    </row>
    <row r="108">
      <c r="A108" s="30" t="s">
        <v>360</v>
      </c>
      <c r="B108" s="30" t="s">
        <v>361</v>
      </c>
      <c r="C108" s="30" t="s">
        <v>195</v>
      </c>
      <c r="E108" s="4" t="s">
        <v>294</v>
      </c>
    </row>
    <row r="109">
      <c r="A109" s="30" t="s">
        <v>362</v>
      </c>
      <c r="B109" s="30" t="s">
        <v>363</v>
      </c>
      <c r="C109" s="30" t="s">
        <v>195</v>
      </c>
      <c r="E109" s="4" t="s">
        <v>294</v>
      </c>
    </row>
    <row r="110">
      <c r="A110" s="30" t="s">
        <v>364</v>
      </c>
      <c r="B110" s="30" t="s">
        <v>365</v>
      </c>
      <c r="C110" s="30" t="s">
        <v>266</v>
      </c>
      <c r="E110" s="4" t="s">
        <v>294</v>
      </c>
    </row>
    <row r="111">
      <c r="A111" s="30" t="s">
        <v>366</v>
      </c>
      <c r="B111" s="30"/>
      <c r="C111" s="30" t="s">
        <v>266</v>
      </c>
      <c r="E111" s="4" t="s">
        <v>294</v>
      </c>
    </row>
    <row r="112">
      <c r="A112" s="30" t="s">
        <v>367</v>
      </c>
      <c r="B112" s="30" t="s">
        <v>218</v>
      </c>
      <c r="C112" s="30" t="s">
        <v>266</v>
      </c>
      <c r="E112" s="4" t="s">
        <v>294</v>
      </c>
    </row>
    <row r="113">
      <c r="A113" s="30" t="s">
        <v>368</v>
      </c>
      <c r="B113" s="30"/>
      <c r="C113" s="30" t="s">
        <v>266</v>
      </c>
      <c r="E113" s="4" t="s">
        <v>294</v>
      </c>
    </row>
    <row r="114">
      <c r="A114" s="4" t="s">
        <v>369</v>
      </c>
      <c r="B114" s="4" t="s">
        <v>370</v>
      </c>
      <c r="C114" s="30" t="s">
        <v>266</v>
      </c>
      <c r="E114" s="4" t="s">
        <v>294</v>
      </c>
    </row>
    <row r="115">
      <c r="A115" s="4" t="s">
        <v>371</v>
      </c>
      <c r="B115" s="4" t="s">
        <v>372</v>
      </c>
      <c r="C115" s="30" t="s">
        <v>266</v>
      </c>
      <c r="E115" s="4" t="s">
        <v>294</v>
      </c>
    </row>
  </sheetData>
  <autoFilter ref="$A$2:$T$113">
    <sortState ref="A2:T113">
      <sortCondition ref="D2:D113"/>
    </sortState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2.25"/>
  </cols>
  <sheetData>
    <row r="1">
      <c r="A1" s="4" t="s">
        <v>373</v>
      </c>
    </row>
    <row r="3">
      <c r="A3" s="4" t="s">
        <v>374</v>
      </c>
    </row>
    <row r="5">
      <c r="A5" s="4" t="s">
        <v>375</v>
      </c>
    </row>
    <row r="7">
      <c r="A7" s="4" t="s">
        <v>376</v>
      </c>
    </row>
    <row r="8">
      <c r="A8" s="4" t="s">
        <v>377</v>
      </c>
    </row>
    <row r="9">
      <c r="A9" s="4" t="s">
        <v>378</v>
      </c>
    </row>
    <row r="11">
      <c r="A11" s="4" t="s">
        <v>379</v>
      </c>
    </row>
    <row r="13">
      <c r="A13" s="4" t="s">
        <v>380</v>
      </c>
    </row>
    <row r="14">
      <c r="A14" s="4" t="s">
        <v>381</v>
      </c>
    </row>
    <row r="15">
      <c r="A15" s="4" t="s">
        <v>382</v>
      </c>
    </row>
    <row r="16">
      <c r="A16" s="4" t="s">
        <v>383</v>
      </c>
    </row>
    <row r="18">
      <c r="A18" s="4" t="s">
        <v>384</v>
      </c>
    </row>
    <row r="20">
      <c r="A20" s="4" t="s">
        <v>385</v>
      </c>
    </row>
    <row r="21">
      <c r="A21" s="4" t="s">
        <v>381</v>
      </c>
    </row>
    <row r="22">
      <c r="A22" s="4" t="s">
        <v>382</v>
      </c>
    </row>
    <row r="23">
      <c r="A23" s="4" t="s">
        <v>386</v>
      </c>
    </row>
    <row r="24">
      <c r="A24" s="4" t="s">
        <v>387</v>
      </c>
    </row>
    <row r="25">
      <c r="A25" s="4" t="s">
        <v>388</v>
      </c>
    </row>
    <row r="26">
      <c r="A26" s="4" t="s">
        <v>389</v>
      </c>
    </row>
    <row r="27">
      <c r="A27" s="4" t="s">
        <v>390</v>
      </c>
    </row>
    <row r="28">
      <c r="A28" s="4" t="s">
        <v>391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63"/>
  </cols>
  <sheetData>
    <row r="1">
      <c r="A1" s="34" t="s">
        <v>189</v>
      </c>
      <c r="B1" s="34" t="s">
        <v>190</v>
      </c>
      <c r="C1" s="34" t="s">
        <v>392</v>
      </c>
    </row>
    <row r="2">
      <c r="A2" s="35" t="s">
        <v>271</v>
      </c>
      <c r="B2" s="35" t="s">
        <v>272</v>
      </c>
      <c r="C2" s="35" t="s">
        <v>195</v>
      </c>
    </row>
    <row r="3">
      <c r="A3" s="35" t="s">
        <v>305</v>
      </c>
      <c r="B3" s="35" t="s">
        <v>306</v>
      </c>
      <c r="C3" s="35" t="s">
        <v>195</v>
      </c>
    </row>
    <row r="4">
      <c r="A4" s="35" t="s">
        <v>340</v>
      </c>
      <c r="B4" s="36"/>
      <c r="C4" s="35" t="s">
        <v>195</v>
      </c>
    </row>
    <row r="5">
      <c r="A5" s="35" t="s">
        <v>158</v>
      </c>
      <c r="B5" s="35" t="s">
        <v>253</v>
      </c>
      <c r="C5" s="35" t="s">
        <v>195</v>
      </c>
    </row>
    <row r="6">
      <c r="A6" s="35" t="s">
        <v>252</v>
      </c>
      <c r="B6" s="35" t="s">
        <v>253</v>
      </c>
      <c r="C6" s="35" t="s">
        <v>195</v>
      </c>
    </row>
    <row r="7">
      <c r="A7" s="35" t="s">
        <v>237</v>
      </c>
      <c r="B7" s="35" t="s">
        <v>238</v>
      </c>
      <c r="C7" s="35" t="s">
        <v>195</v>
      </c>
    </row>
    <row r="8">
      <c r="A8" s="35" t="s">
        <v>239</v>
      </c>
      <c r="B8" s="35" t="s">
        <v>240</v>
      </c>
      <c r="C8" s="35" t="s">
        <v>195</v>
      </c>
    </row>
    <row r="9">
      <c r="A9" s="35" t="s">
        <v>264</v>
      </c>
      <c r="B9" s="36"/>
      <c r="C9" s="35" t="s">
        <v>195</v>
      </c>
    </row>
    <row r="10">
      <c r="A10" s="35" t="s">
        <v>291</v>
      </c>
      <c r="B10" s="35" t="s">
        <v>292</v>
      </c>
      <c r="C10" s="35" t="s">
        <v>195</v>
      </c>
    </row>
    <row r="11">
      <c r="A11" s="35" t="s">
        <v>278</v>
      </c>
      <c r="B11" s="35" t="s">
        <v>279</v>
      </c>
      <c r="C11" s="35" t="s">
        <v>195</v>
      </c>
    </row>
    <row r="12">
      <c r="A12" s="35" t="s">
        <v>276</v>
      </c>
      <c r="B12" s="35" t="s">
        <v>277</v>
      </c>
      <c r="C12" s="35" t="s">
        <v>195</v>
      </c>
    </row>
    <row r="13">
      <c r="A13" s="35" t="s">
        <v>289</v>
      </c>
      <c r="B13" s="35" t="s">
        <v>290</v>
      </c>
      <c r="C13" s="35" t="s">
        <v>195</v>
      </c>
    </row>
    <row r="14">
      <c r="A14" s="35" t="s">
        <v>229</v>
      </c>
      <c r="B14" s="35" t="s">
        <v>230</v>
      </c>
      <c r="C14" s="35" t="s">
        <v>195</v>
      </c>
    </row>
    <row r="15">
      <c r="A15" s="35" t="s">
        <v>243</v>
      </c>
      <c r="B15" s="35" t="s">
        <v>244</v>
      </c>
      <c r="C15" s="35" t="s">
        <v>195</v>
      </c>
    </row>
    <row r="16">
      <c r="A16" s="35" t="s">
        <v>393</v>
      </c>
      <c r="B16" s="35" t="s">
        <v>394</v>
      </c>
      <c r="C16" s="35" t="s">
        <v>195</v>
      </c>
    </row>
    <row r="17">
      <c r="A17" s="35" t="s">
        <v>346</v>
      </c>
      <c r="B17" s="35" t="s">
        <v>347</v>
      </c>
      <c r="C17" s="35" t="s">
        <v>195</v>
      </c>
    </row>
    <row r="18">
      <c r="A18" s="35" t="s">
        <v>217</v>
      </c>
      <c r="B18" s="35" t="s">
        <v>218</v>
      </c>
      <c r="C18" s="35" t="s">
        <v>195</v>
      </c>
    </row>
    <row r="19">
      <c r="A19" s="35" t="s">
        <v>241</v>
      </c>
      <c r="B19" s="35" t="s">
        <v>242</v>
      </c>
      <c r="C19" s="35" t="s">
        <v>195</v>
      </c>
    </row>
    <row r="20">
      <c r="A20" s="35" t="s">
        <v>325</v>
      </c>
      <c r="B20" s="35" t="s">
        <v>326</v>
      </c>
      <c r="C20" s="35" t="s">
        <v>195</v>
      </c>
    </row>
    <row r="21">
      <c r="A21" s="35" t="s">
        <v>198</v>
      </c>
      <c r="B21" s="35" t="s">
        <v>199</v>
      </c>
      <c r="C21" s="35" t="s">
        <v>195</v>
      </c>
    </row>
    <row r="22">
      <c r="A22" s="35" t="s">
        <v>250</v>
      </c>
      <c r="B22" s="35" t="s">
        <v>251</v>
      </c>
      <c r="C22" s="35" t="s">
        <v>195</v>
      </c>
    </row>
    <row r="23">
      <c r="A23" s="35" t="s">
        <v>312</v>
      </c>
      <c r="B23" s="35" t="s">
        <v>313</v>
      </c>
      <c r="C23" s="35" t="s">
        <v>195</v>
      </c>
    </row>
    <row r="24">
      <c r="A24" s="35" t="s">
        <v>323</v>
      </c>
      <c r="B24" s="35" t="s">
        <v>324</v>
      </c>
      <c r="C24" s="35" t="s">
        <v>195</v>
      </c>
    </row>
    <row r="25">
      <c r="A25" s="35" t="s">
        <v>338</v>
      </c>
      <c r="B25" s="35" t="s">
        <v>339</v>
      </c>
      <c r="C25" s="35" t="s">
        <v>195</v>
      </c>
    </row>
    <row r="26">
      <c r="A26" s="35" t="s">
        <v>319</v>
      </c>
      <c r="B26" s="35" t="s">
        <v>320</v>
      </c>
      <c r="C26" s="35" t="s">
        <v>195</v>
      </c>
    </row>
    <row r="27">
      <c r="A27" s="35" t="s">
        <v>213</v>
      </c>
      <c r="B27" s="35" t="s">
        <v>214</v>
      </c>
      <c r="C27" s="35" t="s">
        <v>195</v>
      </c>
    </row>
    <row r="28">
      <c r="A28" s="35" t="s">
        <v>354</v>
      </c>
      <c r="B28" s="35" t="s">
        <v>355</v>
      </c>
      <c r="C28" s="35" t="s">
        <v>195</v>
      </c>
    </row>
    <row r="29">
      <c r="A29" s="35" t="s">
        <v>356</v>
      </c>
      <c r="B29" s="35" t="s">
        <v>355</v>
      </c>
      <c r="C29" s="35" t="s">
        <v>195</v>
      </c>
    </row>
    <row r="30">
      <c r="A30" s="35" t="s">
        <v>231</v>
      </c>
      <c r="B30" s="35" t="s">
        <v>232</v>
      </c>
      <c r="C30" s="35" t="s">
        <v>195</v>
      </c>
    </row>
    <row r="31">
      <c r="A31" s="35" t="s">
        <v>215</v>
      </c>
      <c r="B31" s="35" t="s">
        <v>216</v>
      </c>
      <c r="C31" s="35" t="s">
        <v>195</v>
      </c>
    </row>
    <row r="32">
      <c r="A32" s="35" t="s">
        <v>261</v>
      </c>
      <c r="B32" s="35" t="s">
        <v>328</v>
      </c>
      <c r="C32" s="35" t="s">
        <v>195</v>
      </c>
    </row>
    <row r="33">
      <c r="A33" s="35" t="s">
        <v>336</v>
      </c>
      <c r="B33" s="35" t="s">
        <v>337</v>
      </c>
      <c r="C33" s="35" t="s">
        <v>195</v>
      </c>
    </row>
    <row r="34">
      <c r="A34" s="35" t="s">
        <v>348</v>
      </c>
      <c r="B34" s="35" t="s">
        <v>349</v>
      </c>
      <c r="C34" s="35" t="s">
        <v>195</v>
      </c>
    </row>
    <row r="35">
      <c r="A35" s="35" t="s">
        <v>14</v>
      </c>
      <c r="B35" s="35" t="s">
        <v>197</v>
      </c>
      <c r="C35" s="35" t="s">
        <v>195</v>
      </c>
    </row>
    <row r="36">
      <c r="A36" s="35" t="s">
        <v>202</v>
      </c>
      <c r="B36" s="35" t="s">
        <v>199</v>
      </c>
      <c r="C36" s="35" t="s">
        <v>195</v>
      </c>
    </row>
    <row r="37">
      <c r="A37" s="35" t="s">
        <v>203</v>
      </c>
      <c r="B37" s="35" t="s">
        <v>197</v>
      </c>
      <c r="C37" s="35" t="s">
        <v>195</v>
      </c>
    </row>
    <row r="38">
      <c r="A38" s="35" t="s">
        <v>221</v>
      </c>
      <c r="B38" s="35" t="s">
        <v>222</v>
      </c>
      <c r="C38" s="35" t="s">
        <v>195</v>
      </c>
    </row>
    <row r="39">
      <c r="A39" s="35" t="s">
        <v>227</v>
      </c>
      <c r="B39" s="35" t="s">
        <v>228</v>
      </c>
      <c r="C39" s="35" t="s">
        <v>195</v>
      </c>
    </row>
    <row r="40">
      <c r="A40" s="35" t="s">
        <v>285</v>
      </c>
      <c r="B40" s="35" t="s">
        <v>286</v>
      </c>
      <c r="C40" s="35" t="s">
        <v>195</v>
      </c>
    </row>
    <row r="41">
      <c r="A41" s="35" t="s">
        <v>287</v>
      </c>
      <c r="B41" s="35" t="s">
        <v>288</v>
      </c>
      <c r="C41" s="35" t="s">
        <v>195</v>
      </c>
    </row>
    <row r="42">
      <c r="A42" s="35" t="s">
        <v>269</v>
      </c>
      <c r="B42" s="35" t="s">
        <v>270</v>
      </c>
      <c r="C42" s="35" t="s">
        <v>195</v>
      </c>
    </row>
    <row r="43">
      <c r="A43" s="35" t="s">
        <v>211</v>
      </c>
      <c r="B43" s="35" t="s">
        <v>212</v>
      </c>
      <c r="C43" s="35" t="s">
        <v>195</v>
      </c>
    </row>
    <row r="44">
      <c r="A44" s="35" t="s">
        <v>321</v>
      </c>
      <c r="B44" s="35" t="s">
        <v>322</v>
      </c>
      <c r="C44" s="35" t="s">
        <v>195</v>
      </c>
    </row>
    <row r="45">
      <c r="A45" s="35" t="s">
        <v>310</v>
      </c>
      <c r="B45" s="35" t="s">
        <v>311</v>
      </c>
      <c r="C45" s="35" t="s">
        <v>195</v>
      </c>
    </row>
    <row r="46">
      <c r="A46" s="35" t="s">
        <v>207</v>
      </c>
      <c r="B46" s="35" t="s">
        <v>208</v>
      </c>
      <c r="C46" s="35" t="s">
        <v>195</v>
      </c>
    </row>
    <row r="47">
      <c r="A47" s="35" t="s">
        <v>203</v>
      </c>
      <c r="B47" s="35" t="s">
        <v>204</v>
      </c>
      <c r="C47" s="35" t="s">
        <v>195</v>
      </c>
    </row>
    <row r="48">
      <c r="A48" s="35" t="s">
        <v>193</v>
      </c>
      <c r="B48" s="35" t="s">
        <v>194</v>
      </c>
      <c r="C48" s="35" t="s">
        <v>195</v>
      </c>
    </row>
    <row r="49">
      <c r="A49" s="35" t="s">
        <v>334</v>
      </c>
      <c r="B49" s="35" t="s">
        <v>335</v>
      </c>
      <c r="C49" s="35" t="s">
        <v>195</v>
      </c>
    </row>
    <row r="50">
      <c r="A50" s="35" t="s">
        <v>317</v>
      </c>
      <c r="B50" s="35" t="s">
        <v>220</v>
      </c>
      <c r="C50" s="35" t="s">
        <v>195</v>
      </c>
    </row>
    <row r="51">
      <c r="A51" s="35" t="s">
        <v>318</v>
      </c>
      <c r="B51" s="36"/>
      <c r="C51" s="35" t="s">
        <v>195</v>
      </c>
    </row>
    <row r="52">
      <c r="A52" s="35" t="s">
        <v>219</v>
      </c>
      <c r="B52" s="35" t="s">
        <v>220</v>
      </c>
      <c r="C52" s="35" t="s">
        <v>195</v>
      </c>
    </row>
    <row r="53">
      <c r="A53" s="35" t="s">
        <v>308</v>
      </c>
      <c r="B53" s="35" t="s">
        <v>309</v>
      </c>
      <c r="C53" s="35" t="s">
        <v>195</v>
      </c>
    </row>
    <row r="54">
      <c r="A54" s="35" t="s">
        <v>205</v>
      </c>
      <c r="B54" s="35" t="s">
        <v>280</v>
      </c>
      <c r="C54" s="35" t="s">
        <v>195</v>
      </c>
    </row>
    <row r="55">
      <c r="A55" s="35" t="s">
        <v>248</v>
      </c>
      <c r="B55" s="35" t="s">
        <v>281</v>
      </c>
      <c r="C55" s="35" t="s">
        <v>195</v>
      </c>
    </row>
    <row r="56">
      <c r="A56" s="35" t="s">
        <v>267</v>
      </c>
      <c r="B56" s="35" t="s">
        <v>268</v>
      </c>
      <c r="C56" s="35" t="s">
        <v>195</v>
      </c>
    </row>
    <row r="57">
      <c r="A57" s="35" t="s">
        <v>395</v>
      </c>
      <c r="B57" s="35" t="s">
        <v>396</v>
      </c>
      <c r="C57" s="35" t="s">
        <v>397</v>
      </c>
    </row>
    <row r="58">
      <c r="A58" s="35" t="s">
        <v>261</v>
      </c>
      <c r="B58" s="35" t="s">
        <v>398</v>
      </c>
      <c r="C58" s="35" t="s">
        <v>397</v>
      </c>
    </row>
    <row r="59">
      <c r="A59" s="35" t="s">
        <v>262</v>
      </c>
      <c r="B59" s="35" t="s">
        <v>263</v>
      </c>
      <c r="C59" s="35" t="s">
        <v>266</v>
      </c>
    </row>
    <row r="60">
      <c r="A60" s="35" t="s">
        <v>274</v>
      </c>
      <c r="B60" s="35" t="s">
        <v>275</v>
      </c>
      <c r="C60" s="35" t="s">
        <v>195</v>
      </c>
    </row>
    <row r="61">
      <c r="A61" s="35" t="s">
        <v>207</v>
      </c>
      <c r="B61" s="35" t="s">
        <v>275</v>
      </c>
      <c r="C61" s="35" t="s">
        <v>195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" t="s">
        <v>189</v>
      </c>
      <c r="B1" s="34" t="s">
        <v>190</v>
      </c>
      <c r="C1" s="34" t="s">
        <v>399</v>
      </c>
      <c r="D1" s="34" t="s">
        <v>400</v>
      </c>
    </row>
    <row r="2">
      <c r="A2" s="35" t="s">
        <v>271</v>
      </c>
      <c r="B2" s="35" t="s">
        <v>272</v>
      </c>
      <c r="C2" s="35" t="s">
        <v>195</v>
      </c>
    </row>
    <row r="3">
      <c r="A3" s="35" t="s">
        <v>158</v>
      </c>
      <c r="B3" s="35" t="s">
        <v>253</v>
      </c>
      <c r="C3" s="35" t="s">
        <v>195</v>
      </c>
    </row>
    <row r="4">
      <c r="A4" s="35" t="s">
        <v>252</v>
      </c>
      <c r="B4" s="35" t="s">
        <v>253</v>
      </c>
      <c r="C4" s="35" t="s">
        <v>195</v>
      </c>
    </row>
    <row r="5">
      <c r="A5" s="35" t="s">
        <v>237</v>
      </c>
      <c r="B5" s="35" t="s">
        <v>238</v>
      </c>
      <c r="C5" s="35" t="s">
        <v>195</v>
      </c>
    </row>
    <row r="6">
      <c r="A6" s="35" t="s">
        <v>239</v>
      </c>
      <c r="B6" s="35" t="s">
        <v>240</v>
      </c>
      <c r="C6" s="35" t="s">
        <v>195</v>
      </c>
    </row>
    <row r="7">
      <c r="A7" s="35" t="s">
        <v>264</v>
      </c>
      <c r="B7" s="36"/>
      <c r="C7" s="35" t="s">
        <v>195</v>
      </c>
    </row>
    <row r="8">
      <c r="A8" s="35" t="s">
        <v>278</v>
      </c>
      <c r="B8" s="35" t="s">
        <v>279</v>
      </c>
      <c r="C8" s="35" t="s">
        <v>195</v>
      </c>
    </row>
    <row r="9">
      <c r="A9" s="35" t="s">
        <v>276</v>
      </c>
      <c r="B9" s="35" t="s">
        <v>277</v>
      </c>
      <c r="C9" s="35" t="s">
        <v>195</v>
      </c>
    </row>
    <row r="10">
      <c r="A10" s="35" t="s">
        <v>229</v>
      </c>
      <c r="B10" s="35" t="s">
        <v>230</v>
      </c>
      <c r="C10" s="35" t="s">
        <v>195</v>
      </c>
    </row>
    <row r="11">
      <c r="A11" s="35" t="s">
        <v>243</v>
      </c>
      <c r="B11" s="35" t="s">
        <v>244</v>
      </c>
      <c r="C11" s="35" t="s">
        <v>195</v>
      </c>
    </row>
    <row r="12">
      <c r="A12" s="35" t="s">
        <v>346</v>
      </c>
      <c r="B12" s="35" t="s">
        <v>347</v>
      </c>
      <c r="C12" s="35" t="s">
        <v>195</v>
      </c>
    </row>
    <row r="13">
      <c r="A13" s="35" t="s">
        <v>217</v>
      </c>
      <c r="B13" s="35" t="s">
        <v>218</v>
      </c>
      <c r="C13" s="35" t="s">
        <v>195</v>
      </c>
    </row>
    <row r="14">
      <c r="A14" s="35" t="s">
        <v>241</v>
      </c>
      <c r="B14" s="35" t="s">
        <v>242</v>
      </c>
      <c r="C14" s="35" t="s">
        <v>195</v>
      </c>
    </row>
    <row r="15">
      <c r="A15" s="35" t="s">
        <v>338</v>
      </c>
      <c r="B15" s="35" t="s">
        <v>339</v>
      </c>
      <c r="C15" s="35" t="s">
        <v>195</v>
      </c>
    </row>
    <row r="16">
      <c r="A16" s="35" t="s">
        <v>213</v>
      </c>
      <c r="B16" s="35" t="s">
        <v>214</v>
      </c>
      <c r="C16" s="35" t="s">
        <v>195</v>
      </c>
    </row>
    <row r="17">
      <c r="A17" s="35" t="s">
        <v>354</v>
      </c>
      <c r="B17" s="35" t="s">
        <v>355</v>
      </c>
      <c r="C17" s="35" t="s">
        <v>195</v>
      </c>
    </row>
    <row r="18">
      <c r="A18" s="35" t="s">
        <v>356</v>
      </c>
      <c r="B18" s="35" t="s">
        <v>355</v>
      </c>
      <c r="C18" s="35" t="s">
        <v>195</v>
      </c>
    </row>
    <row r="19">
      <c r="A19" s="35" t="s">
        <v>231</v>
      </c>
      <c r="B19" s="35" t="s">
        <v>232</v>
      </c>
      <c r="C19" s="35" t="s">
        <v>195</v>
      </c>
    </row>
    <row r="20">
      <c r="A20" s="35" t="s">
        <v>215</v>
      </c>
      <c r="B20" s="35" t="s">
        <v>216</v>
      </c>
      <c r="C20" s="35" t="s">
        <v>195</v>
      </c>
    </row>
    <row r="21">
      <c r="A21" s="35" t="s">
        <v>348</v>
      </c>
      <c r="B21" s="35" t="s">
        <v>349</v>
      </c>
      <c r="C21" s="35" t="s">
        <v>195</v>
      </c>
    </row>
    <row r="22">
      <c r="A22" s="35" t="s">
        <v>14</v>
      </c>
      <c r="B22" s="35" t="s">
        <v>197</v>
      </c>
      <c r="C22" s="35" t="s">
        <v>195</v>
      </c>
    </row>
    <row r="23">
      <c r="A23" s="35" t="s">
        <v>202</v>
      </c>
      <c r="B23" s="35" t="s">
        <v>199</v>
      </c>
      <c r="C23" s="35" t="s">
        <v>195</v>
      </c>
    </row>
    <row r="24">
      <c r="A24" s="35" t="s">
        <v>203</v>
      </c>
      <c r="B24" s="35" t="s">
        <v>197</v>
      </c>
      <c r="C24" s="35" t="s">
        <v>195</v>
      </c>
    </row>
    <row r="25">
      <c r="A25" s="35" t="s">
        <v>221</v>
      </c>
      <c r="B25" s="35" t="s">
        <v>222</v>
      </c>
      <c r="C25" s="35" t="s">
        <v>195</v>
      </c>
    </row>
    <row r="26">
      <c r="A26" s="35" t="s">
        <v>227</v>
      </c>
      <c r="B26" s="35" t="s">
        <v>228</v>
      </c>
      <c r="C26" s="35" t="s">
        <v>195</v>
      </c>
    </row>
    <row r="27">
      <c r="A27" s="35" t="s">
        <v>285</v>
      </c>
      <c r="B27" s="35" t="s">
        <v>286</v>
      </c>
      <c r="C27" s="35" t="s">
        <v>195</v>
      </c>
    </row>
    <row r="28">
      <c r="A28" s="35" t="s">
        <v>211</v>
      </c>
      <c r="B28" s="35" t="s">
        <v>212</v>
      </c>
      <c r="C28" s="35" t="s">
        <v>195</v>
      </c>
    </row>
    <row r="29">
      <c r="A29" s="35" t="s">
        <v>321</v>
      </c>
      <c r="B29" s="35" t="s">
        <v>322</v>
      </c>
      <c r="C29" s="35" t="s">
        <v>195</v>
      </c>
    </row>
    <row r="30">
      <c r="A30" s="35" t="s">
        <v>310</v>
      </c>
      <c r="B30" s="35" t="s">
        <v>311</v>
      </c>
      <c r="C30" s="35" t="s">
        <v>195</v>
      </c>
    </row>
    <row r="31">
      <c r="A31" s="35" t="s">
        <v>207</v>
      </c>
      <c r="B31" s="35" t="s">
        <v>208</v>
      </c>
      <c r="C31" s="35" t="s">
        <v>195</v>
      </c>
    </row>
    <row r="32">
      <c r="A32" s="35" t="s">
        <v>203</v>
      </c>
      <c r="B32" s="35" t="s">
        <v>204</v>
      </c>
      <c r="C32" s="35" t="s">
        <v>195</v>
      </c>
    </row>
    <row r="33">
      <c r="A33" s="35" t="s">
        <v>334</v>
      </c>
      <c r="B33" s="35" t="s">
        <v>335</v>
      </c>
      <c r="C33" s="35" t="s">
        <v>195</v>
      </c>
    </row>
    <row r="34">
      <c r="A34" s="35" t="s">
        <v>219</v>
      </c>
      <c r="B34" s="35" t="s">
        <v>220</v>
      </c>
      <c r="C34" s="35" t="s">
        <v>195</v>
      </c>
    </row>
    <row r="35">
      <c r="A35" s="35" t="s">
        <v>308</v>
      </c>
      <c r="B35" s="35" t="s">
        <v>309</v>
      </c>
      <c r="C35" s="35" t="s">
        <v>195</v>
      </c>
    </row>
    <row r="36">
      <c r="A36" s="35" t="s">
        <v>205</v>
      </c>
      <c r="B36" s="35" t="s">
        <v>280</v>
      </c>
      <c r="C36" s="35" t="s">
        <v>195</v>
      </c>
    </row>
    <row r="37">
      <c r="A37" s="35" t="s">
        <v>248</v>
      </c>
      <c r="B37" s="35" t="s">
        <v>281</v>
      </c>
      <c r="C37" s="35" t="s">
        <v>195</v>
      </c>
    </row>
    <row r="38">
      <c r="A38" s="35" t="s">
        <v>267</v>
      </c>
      <c r="B38" s="35" t="s">
        <v>268</v>
      </c>
      <c r="C38" s="35" t="s">
        <v>195</v>
      </c>
    </row>
    <row r="39">
      <c r="A39" s="35" t="s">
        <v>262</v>
      </c>
      <c r="B39" s="35" t="s">
        <v>263</v>
      </c>
      <c r="C39" s="35" t="s">
        <v>195</v>
      </c>
    </row>
    <row r="40">
      <c r="A40" s="35" t="s">
        <v>198</v>
      </c>
      <c r="B40" s="35" t="s">
        <v>199</v>
      </c>
      <c r="C40" s="35" t="s">
        <v>397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63"/>
    <col customWidth="1" min="2" max="2" width="42.75"/>
    <col customWidth="1" min="3" max="3" width="37.13"/>
    <col customWidth="1" min="4" max="4" width="22.0"/>
  </cols>
  <sheetData>
    <row r="1">
      <c r="A1" s="37" t="s">
        <v>401</v>
      </c>
      <c r="B1" s="37" t="s">
        <v>402</v>
      </c>
      <c r="C1" s="37" t="s">
        <v>403</v>
      </c>
      <c r="D1" s="38" t="s">
        <v>404</v>
      </c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>
      <c r="A2" s="37"/>
      <c r="B2" s="37" t="s">
        <v>405</v>
      </c>
      <c r="C2" s="37" t="s">
        <v>406</v>
      </c>
      <c r="D2" s="38" t="s">
        <v>407</v>
      </c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>
      <c r="A3" s="37"/>
      <c r="B3" s="37" t="s">
        <v>408</v>
      </c>
      <c r="C3" s="37" t="s">
        <v>409</v>
      </c>
      <c r="D3" s="38" t="s">
        <v>410</v>
      </c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>
      <c r="A4" s="37"/>
      <c r="B4" s="37" t="s">
        <v>411</v>
      </c>
      <c r="C4" s="37" t="s">
        <v>412</v>
      </c>
      <c r="D4" s="38" t="s">
        <v>413</v>
      </c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>
      <c r="A5" s="37"/>
      <c r="B5" s="37" t="s">
        <v>414</v>
      </c>
      <c r="C5" s="37" t="s">
        <v>415</v>
      </c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>
      <c r="A6" s="37"/>
      <c r="B6" s="37" t="s">
        <v>416</v>
      </c>
      <c r="C6" s="37" t="s">
        <v>417</v>
      </c>
      <c r="D6" s="38" t="s">
        <v>418</v>
      </c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>
      <c r="A7" s="37"/>
      <c r="B7" s="37" t="s">
        <v>419</v>
      </c>
      <c r="C7" s="37" t="s">
        <v>420</v>
      </c>
      <c r="D7" s="38" t="s">
        <v>421</v>
      </c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>
      <c r="A8" s="37"/>
      <c r="B8" s="37" t="s">
        <v>422</v>
      </c>
      <c r="C8" s="37" t="s">
        <v>423</v>
      </c>
      <c r="D8" s="38" t="s">
        <v>424</v>
      </c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>
      <c r="A9" s="40"/>
      <c r="B9" s="37" t="s">
        <v>425</v>
      </c>
      <c r="C9" s="37" t="s">
        <v>426</v>
      </c>
      <c r="D9" s="38" t="s">
        <v>427</v>
      </c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>
      <c r="A10" s="37"/>
      <c r="B10" s="37" t="s">
        <v>428</v>
      </c>
      <c r="C10" s="37" t="s">
        <v>429</v>
      </c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37" t="s">
        <v>430</v>
      </c>
      <c r="B11" s="37" t="s">
        <v>431</v>
      </c>
      <c r="C11" s="37" t="s">
        <v>432</v>
      </c>
      <c r="D11" s="38" t="s">
        <v>433</v>
      </c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>
      <c r="A12" s="37"/>
      <c r="B12" s="37" t="s">
        <v>434</v>
      </c>
      <c r="C12" s="37" t="s">
        <v>435</v>
      </c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>
      <c r="A13" s="37"/>
      <c r="B13" s="37" t="s">
        <v>436</v>
      </c>
      <c r="C13" s="37" t="s">
        <v>437</v>
      </c>
      <c r="D13" s="38" t="s">
        <v>438</v>
      </c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>
      <c r="A14" s="37"/>
      <c r="B14" s="37" t="s">
        <v>439</v>
      </c>
      <c r="C14" s="37" t="s">
        <v>440</v>
      </c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>
      <c r="A15" s="37"/>
      <c r="B15" s="37" t="s">
        <v>441</v>
      </c>
      <c r="C15" s="37" t="s">
        <v>442</v>
      </c>
      <c r="D15" s="38" t="s">
        <v>443</v>
      </c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>
      <c r="A16" s="37"/>
      <c r="B16" s="37" t="s">
        <v>444</v>
      </c>
      <c r="C16" s="37" t="s">
        <v>445</v>
      </c>
      <c r="D16" s="38" t="s">
        <v>446</v>
      </c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>
      <c r="A17" s="37"/>
      <c r="B17" s="37" t="s">
        <v>447</v>
      </c>
      <c r="C17" s="37" t="s">
        <v>448</v>
      </c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>
      <c r="A18" s="37"/>
      <c r="B18" s="37" t="s">
        <v>449</v>
      </c>
      <c r="C18" s="37" t="s">
        <v>450</v>
      </c>
      <c r="D18" s="38" t="s">
        <v>451</v>
      </c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>
      <c r="A19" s="37" t="s">
        <v>452</v>
      </c>
      <c r="B19" s="37" t="s">
        <v>453</v>
      </c>
      <c r="C19" s="37" t="s">
        <v>454</v>
      </c>
      <c r="D19" s="38" t="s">
        <v>455</v>
      </c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>
      <c r="A20" s="37" t="s">
        <v>456</v>
      </c>
      <c r="B20" s="37" t="s">
        <v>457</v>
      </c>
      <c r="C20" s="37" t="s">
        <v>458</v>
      </c>
      <c r="D20" s="38" t="s">
        <v>459</v>
      </c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>
      <c r="A21" s="37"/>
      <c r="B21" s="37" t="s">
        <v>460</v>
      </c>
      <c r="C21" s="37" t="s">
        <v>461</v>
      </c>
      <c r="D21" s="38" t="s">
        <v>233</v>
      </c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>
      <c r="A22" s="40"/>
      <c r="B22" s="37" t="s">
        <v>462</v>
      </c>
      <c r="C22" s="37" t="s">
        <v>463</v>
      </c>
      <c r="D22" s="38" t="s">
        <v>464</v>
      </c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>
      <c r="A23" s="40"/>
      <c r="B23" s="37" t="s">
        <v>465</v>
      </c>
      <c r="C23" s="37" t="s">
        <v>466</v>
      </c>
      <c r="D23" s="38" t="s">
        <v>467</v>
      </c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>
      <c r="A24" s="40"/>
      <c r="B24" s="37" t="s">
        <v>468</v>
      </c>
      <c r="C24" s="37" t="s">
        <v>469</v>
      </c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>
      <c r="A25" s="37" t="s">
        <v>470</v>
      </c>
      <c r="B25" s="37" t="s">
        <v>471</v>
      </c>
      <c r="C25" s="37" t="s">
        <v>472</v>
      </c>
      <c r="D25" s="38" t="s">
        <v>473</v>
      </c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>
      <c r="A26" s="37" t="s">
        <v>474</v>
      </c>
      <c r="B26" s="37" t="s">
        <v>475</v>
      </c>
      <c r="C26" s="37" t="s">
        <v>476</v>
      </c>
      <c r="D26" s="38" t="s">
        <v>477</v>
      </c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>
      <c r="A27" s="37" t="s">
        <v>478</v>
      </c>
      <c r="B27" s="37" t="s">
        <v>479</v>
      </c>
      <c r="C27" s="37" t="s">
        <v>480</v>
      </c>
      <c r="D27" s="38" t="s">
        <v>481</v>
      </c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>
      <c r="A28" s="37"/>
      <c r="B28" s="37" t="s">
        <v>482</v>
      </c>
      <c r="C28" s="37" t="s">
        <v>483</v>
      </c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>
      <c r="A29" s="37"/>
      <c r="B29" s="37" t="s">
        <v>484</v>
      </c>
      <c r="C29" s="37" t="s">
        <v>485</v>
      </c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>
      <c r="A30" s="37"/>
      <c r="B30" s="37" t="s">
        <v>486</v>
      </c>
      <c r="C30" s="37" t="s">
        <v>487</v>
      </c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>
      <c r="A31" s="37"/>
      <c r="B31" s="37" t="s">
        <v>488</v>
      </c>
      <c r="C31" s="37" t="s">
        <v>489</v>
      </c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>
      <c r="A32" s="37"/>
      <c r="B32" s="37" t="s">
        <v>490</v>
      </c>
      <c r="C32" s="41" t="s">
        <v>491</v>
      </c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>
      <c r="A33" s="42"/>
      <c r="B33" s="41" t="s">
        <v>492</v>
      </c>
      <c r="C33" s="41" t="s">
        <v>493</v>
      </c>
      <c r="D33" s="38" t="s">
        <v>494</v>
      </c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>
      <c r="A34" s="41"/>
      <c r="B34" s="41" t="s">
        <v>495</v>
      </c>
      <c r="C34" s="41" t="s">
        <v>496</v>
      </c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>
      <c r="A35" s="37"/>
      <c r="B35" s="37" t="s">
        <v>497</v>
      </c>
      <c r="C35" s="37" t="s">
        <v>498</v>
      </c>
      <c r="D35" s="38" t="s">
        <v>499</v>
      </c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>
      <c r="A36" s="37"/>
      <c r="B36" s="37"/>
      <c r="C36" s="37" t="s">
        <v>500</v>
      </c>
      <c r="D36" s="43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>
      <c r="A37" s="37"/>
      <c r="B37" s="37" t="s">
        <v>501</v>
      </c>
      <c r="C37" s="37" t="s">
        <v>502</v>
      </c>
      <c r="D37" s="38" t="s">
        <v>503</v>
      </c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>
      <c r="A38" s="37" t="s">
        <v>504</v>
      </c>
      <c r="B38" s="37" t="s">
        <v>505</v>
      </c>
      <c r="C38" s="37" t="s">
        <v>506</v>
      </c>
      <c r="D38" s="38" t="s">
        <v>507</v>
      </c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>
      <c r="A39" s="40"/>
      <c r="B39" s="37" t="s">
        <v>508</v>
      </c>
      <c r="C39" s="37" t="s">
        <v>509</v>
      </c>
      <c r="D39" s="38" t="s">
        <v>510</v>
      </c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>
      <c r="A40" s="40"/>
      <c r="B40" s="40"/>
      <c r="C40" s="37" t="s">
        <v>511</v>
      </c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>
      <c r="A41" s="37" t="s">
        <v>512</v>
      </c>
      <c r="B41" s="37" t="s">
        <v>513</v>
      </c>
      <c r="C41" s="37" t="s">
        <v>514</v>
      </c>
      <c r="D41" s="38" t="s">
        <v>515</v>
      </c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>
      <c r="A42" s="37"/>
      <c r="B42" s="37" t="s">
        <v>516</v>
      </c>
      <c r="C42" s="40" t="s">
        <v>517</v>
      </c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>
      <c r="A43" s="37"/>
      <c r="B43" s="37" t="s">
        <v>518</v>
      </c>
      <c r="C43" s="37" t="s">
        <v>519</v>
      </c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>
      <c r="A44" s="37"/>
      <c r="B44" s="37" t="s">
        <v>520</v>
      </c>
      <c r="C44" s="37" t="s">
        <v>521</v>
      </c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>
      <c r="A45" s="37"/>
      <c r="B45" s="37" t="s">
        <v>522</v>
      </c>
      <c r="C45" s="37" t="s">
        <v>523</v>
      </c>
      <c r="D45" s="38" t="s">
        <v>524</v>
      </c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>
      <c r="A46" s="40"/>
      <c r="B46" s="37" t="s">
        <v>525</v>
      </c>
      <c r="C46" s="40" t="s">
        <v>526</v>
      </c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>
      <c r="A47" s="40"/>
      <c r="B47" s="37" t="s">
        <v>527</v>
      </c>
      <c r="C47" s="40" t="s">
        <v>528</v>
      </c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>
      <c r="A48" s="40"/>
      <c r="B48" s="37" t="s">
        <v>529</v>
      </c>
      <c r="C48" s="37" t="s">
        <v>530</v>
      </c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>
      <c r="A49" s="37"/>
      <c r="B49" s="37" t="s">
        <v>531</v>
      </c>
      <c r="C49" s="40" t="s">
        <v>532</v>
      </c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>
      <c r="A50" s="44" t="s">
        <v>533</v>
      </c>
      <c r="B50" s="37" t="s">
        <v>534</v>
      </c>
      <c r="C50" s="37" t="s">
        <v>535</v>
      </c>
      <c r="D50" s="38" t="s">
        <v>536</v>
      </c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>
      <c r="A51" s="37"/>
      <c r="B51" s="37" t="s">
        <v>537</v>
      </c>
      <c r="C51" s="37" t="s">
        <v>538</v>
      </c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>
      <c r="A52" s="37" t="s">
        <v>539</v>
      </c>
      <c r="B52" s="37" t="s">
        <v>540</v>
      </c>
      <c r="C52" s="37" t="s">
        <v>541</v>
      </c>
      <c r="D52" s="38" t="s">
        <v>542</v>
      </c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>
      <c r="A53" s="40"/>
      <c r="B53" s="37" t="s">
        <v>543</v>
      </c>
      <c r="C53" s="40" t="s">
        <v>544</v>
      </c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>
      <c r="A54" s="40"/>
      <c r="B54" s="37" t="s">
        <v>545</v>
      </c>
      <c r="C54" s="40" t="s">
        <v>546</v>
      </c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>
      <c r="A55" s="40"/>
      <c r="B55" s="37" t="s">
        <v>547</v>
      </c>
      <c r="C55" s="40" t="s">
        <v>548</v>
      </c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>
      <c r="A56" s="37"/>
      <c r="B56" s="37" t="s">
        <v>549</v>
      </c>
      <c r="C56" s="37" t="s">
        <v>550</v>
      </c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>
      <c r="A57" s="40"/>
      <c r="B57" s="37" t="s">
        <v>527</v>
      </c>
      <c r="C57" s="40" t="s">
        <v>551</v>
      </c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>
      <c r="A58" s="40"/>
      <c r="B58" s="37" t="s">
        <v>552</v>
      </c>
      <c r="C58" s="40" t="s">
        <v>553</v>
      </c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>
      <c r="A59" s="37"/>
      <c r="B59" s="37" t="s">
        <v>554</v>
      </c>
      <c r="C59" s="37" t="s">
        <v>555</v>
      </c>
      <c r="D59" s="38" t="s">
        <v>556</v>
      </c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>
      <c r="A60" s="37"/>
      <c r="B60" s="37" t="s">
        <v>557</v>
      </c>
      <c r="C60" s="37" t="s">
        <v>558</v>
      </c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>
      <c r="A61" s="37"/>
      <c r="B61" s="37"/>
      <c r="C61" s="37" t="s">
        <v>559</v>
      </c>
      <c r="D61" s="38" t="s">
        <v>560</v>
      </c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>
      <c r="A62" s="45"/>
      <c r="B62" s="46" t="s">
        <v>561</v>
      </c>
      <c r="C62" s="46" t="s">
        <v>562</v>
      </c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>
      <c r="A63" s="45"/>
      <c r="B63" s="47" t="s">
        <v>563</v>
      </c>
      <c r="C63" s="46" t="s">
        <v>564</v>
      </c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>
      <c r="A64" s="45"/>
      <c r="B64" s="46" t="s">
        <v>565</v>
      </c>
      <c r="C64" s="46" t="s">
        <v>566</v>
      </c>
      <c r="D64" s="38" t="s">
        <v>567</v>
      </c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>
      <c r="A65" s="46" t="s">
        <v>568</v>
      </c>
      <c r="B65" s="46" t="s">
        <v>569</v>
      </c>
      <c r="C65" s="46" t="s">
        <v>570</v>
      </c>
      <c r="D65" s="38" t="s">
        <v>571</v>
      </c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>
      <c r="A66" s="45"/>
      <c r="B66" s="46" t="s">
        <v>572</v>
      </c>
      <c r="C66" s="46" t="s">
        <v>573</v>
      </c>
      <c r="D66" s="38" t="s">
        <v>574</v>
      </c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>
      <c r="A67" s="45"/>
      <c r="B67" s="46" t="s">
        <v>575</v>
      </c>
      <c r="C67" s="46" t="s">
        <v>576</v>
      </c>
      <c r="D67" s="38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>
      <c r="A68" s="47" t="s">
        <v>577</v>
      </c>
      <c r="B68" s="47" t="s">
        <v>578</v>
      </c>
      <c r="C68" s="46" t="s">
        <v>579</v>
      </c>
      <c r="D68" s="38" t="s">
        <v>580</v>
      </c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>
      <c r="A69" s="48" t="s">
        <v>581</v>
      </c>
      <c r="B69" s="46" t="s">
        <v>582</v>
      </c>
      <c r="C69" s="46" t="s">
        <v>583</v>
      </c>
      <c r="D69" s="38" t="s">
        <v>584</v>
      </c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>
      <c r="A70" s="48" t="s">
        <v>585</v>
      </c>
      <c r="B70" s="48" t="s">
        <v>586</v>
      </c>
      <c r="C70" s="46" t="s">
        <v>587</v>
      </c>
      <c r="D70" s="38" t="s">
        <v>588</v>
      </c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>
      <c r="A71" s="48" t="s">
        <v>589</v>
      </c>
      <c r="B71" s="48" t="s">
        <v>590</v>
      </c>
      <c r="C71" s="46" t="s">
        <v>591</v>
      </c>
      <c r="D71" s="38" t="s">
        <v>592</v>
      </c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>
      <c r="A72" s="48" t="s">
        <v>593</v>
      </c>
      <c r="B72" s="48" t="s">
        <v>594</v>
      </c>
      <c r="C72" s="46" t="s">
        <v>595</v>
      </c>
      <c r="D72" s="38" t="s">
        <v>596</v>
      </c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>
      <c r="A73" s="45"/>
      <c r="B73" s="48" t="s">
        <v>597</v>
      </c>
      <c r="C73" s="46" t="s">
        <v>598</v>
      </c>
      <c r="D73" s="38" t="s">
        <v>599</v>
      </c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>
      <c r="A74" s="45"/>
      <c r="B74" s="47" t="s">
        <v>600</v>
      </c>
      <c r="C74" s="46" t="s">
        <v>601</v>
      </c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>
      <c r="A75" s="45"/>
      <c r="B75" s="45"/>
      <c r="C75" s="46" t="s">
        <v>602</v>
      </c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>
      <c r="A76" s="39"/>
      <c r="B76" s="46" t="s">
        <v>603</v>
      </c>
      <c r="C76" s="46" t="s">
        <v>604</v>
      </c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>
      <c r="A77" s="39"/>
      <c r="B77" s="39"/>
      <c r="C77" s="37" t="s">
        <v>605</v>
      </c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>
      <c r="A78" s="39"/>
      <c r="B78" s="39"/>
      <c r="C78" s="37" t="s">
        <v>606</v>
      </c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</row>
    <row r="243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</row>
    <row r="244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</row>
    <row r="245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</row>
    <row r="246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</row>
    <row r="247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</row>
    <row r="249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</row>
    <row r="25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</row>
    <row r="254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</row>
    <row r="256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</row>
    <row r="257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</row>
    <row r="258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</row>
    <row r="259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</row>
    <row r="260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</row>
    <row r="261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</row>
    <row r="262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</row>
    <row r="263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</row>
    <row r="266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</row>
    <row r="267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</row>
    <row r="268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</row>
    <row r="269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</row>
    <row r="270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</row>
    <row r="271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</row>
    <row r="272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</row>
    <row r="273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</row>
    <row r="274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</row>
    <row r="275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</row>
    <row r="276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</row>
    <row r="277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</row>
    <row r="278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</row>
    <row r="279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</row>
    <row r="280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</row>
    <row r="281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</row>
    <row r="282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</row>
    <row r="283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</row>
    <row r="284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</row>
    <row r="285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</row>
    <row r="286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</row>
    <row r="287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</row>
    <row r="288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</row>
    <row r="289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</row>
    <row r="290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</row>
    <row r="291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</row>
    <row r="292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</row>
    <row r="293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</row>
    <row r="294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</row>
    <row r="295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</row>
    <row r="296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</row>
    <row r="297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</row>
    <row r="298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</row>
    <row r="299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</row>
    <row r="30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</row>
    <row r="303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</row>
    <row r="306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</row>
    <row r="308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</row>
    <row r="309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</row>
    <row r="310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</row>
    <row r="311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</row>
    <row r="312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</row>
    <row r="313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</row>
    <row r="314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</row>
    <row r="315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</row>
    <row r="316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</row>
    <row r="317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</row>
    <row r="318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</row>
    <row r="319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</row>
    <row r="320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</row>
    <row r="321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</row>
    <row r="322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</row>
    <row r="323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</row>
    <row r="324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</row>
    <row r="325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</row>
    <row r="326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</row>
    <row r="327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</row>
    <row r="328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</row>
    <row r="329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</row>
    <row r="330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</row>
    <row r="331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</row>
    <row r="332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</row>
    <row r="333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</row>
    <row r="334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</row>
    <row r="335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</row>
    <row r="336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</row>
    <row r="337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</row>
    <row r="338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</row>
    <row r="339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</row>
    <row r="340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</row>
    <row r="341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</row>
    <row r="342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</row>
    <row r="343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</row>
    <row r="344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</row>
    <row r="346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</row>
    <row r="348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  <row r="871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</row>
    <row r="872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</row>
    <row r="873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</row>
    <row r="874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</row>
    <row r="875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</row>
    <row r="876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</row>
    <row r="877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</row>
    <row r="878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</row>
    <row r="879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</row>
    <row r="880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</row>
    <row r="881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</row>
    <row r="882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</row>
    <row r="883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</row>
    <row r="884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</row>
    <row r="885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</row>
    <row r="886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</row>
    <row r="887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</row>
    <row r="888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</row>
    <row r="889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</row>
    <row r="890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</row>
    <row r="891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</row>
    <row r="892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</row>
    <row r="893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</row>
    <row r="894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</row>
    <row r="895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</row>
    <row r="896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</row>
    <row r="897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</row>
    <row r="898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</row>
    <row r="899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</row>
    <row r="900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</row>
    <row r="901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</row>
    <row r="902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</row>
    <row r="903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</row>
    <row r="904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</row>
    <row r="905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</row>
    <row r="906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</row>
    <row r="907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</row>
    <row r="908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</row>
    <row r="909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</row>
    <row r="910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</row>
    <row r="911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</row>
    <row r="912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</row>
    <row r="913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</row>
    <row r="914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</row>
    <row r="915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</row>
    <row r="916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</row>
    <row r="917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</row>
    <row r="918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</row>
    <row r="919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</row>
    <row r="920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</row>
    <row r="921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</row>
    <row r="922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</row>
    <row r="923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</row>
    <row r="924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</row>
    <row r="925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</row>
    <row r="926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</row>
    <row r="927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</row>
    <row r="928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</row>
    <row r="929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</row>
    <row r="930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</row>
    <row r="931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</row>
    <row r="932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</row>
    <row r="933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</row>
    <row r="934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</row>
    <row r="935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</row>
    <row r="936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</row>
    <row r="937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</row>
    <row r="938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</row>
    <row r="939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</row>
    <row r="940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</row>
    <row r="941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</row>
    <row r="942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</row>
    <row r="943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</row>
    <row r="944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</row>
    <row r="945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</row>
    <row r="946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</row>
    <row r="947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</row>
    <row r="948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</row>
    <row r="949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</row>
    <row r="950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</row>
    <row r="951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</row>
    <row r="952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</row>
    <row r="953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</row>
    <row r="954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</row>
    <row r="955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</row>
    <row r="956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</row>
    <row r="957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</row>
    <row r="958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</row>
    <row r="959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</row>
    <row r="960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</row>
    <row r="961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</row>
    <row r="962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</row>
    <row r="963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</row>
    <row r="964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</row>
    <row r="965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</row>
    <row r="966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</row>
    <row r="967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</row>
    <row r="968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</row>
    <row r="969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</row>
    <row r="970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</row>
    <row r="971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</row>
    <row r="972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</row>
    <row r="973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</row>
    <row r="974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</row>
    <row r="975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</row>
    <row r="976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</row>
    <row r="977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</row>
    <row r="978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</row>
    <row r="979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</row>
    <row r="980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</row>
    <row r="981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</row>
    <row r="982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</row>
    <row r="983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</row>
    <row r="984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</row>
    <row r="985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</row>
    <row r="986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</row>
    <row r="987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</row>
    <row r="988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</row>
    <row r="989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</row>
    <row r="990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</row>
    <row r="991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</row>
    <row r="992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</row>
    <row r="993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</row>
    <row r="994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</row>
    <row r="995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</row>
    <row r="996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</row>
    <row r="997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</row>
  </sheetData>
  <hyperlinks>
    <hyperlink r:id="rId1" ref="A50"/>
    <hyperlink r:id="rId2" ref="A69"/>
    <hyperlink r:id="rId3" ref="A70"/>
    <hyperlink r:id="rId4" ref="B70"/>
    <hyperlink r:id="rId5" ref="A71"/>
    <hyperlink r:id="rId6" ref="B71"/>
    <hyperlink r:id="rId7" ref="A72"/>
    <hyperlink r:id="rId8" ref="B72"/>
    <hyperlink r:id="rId9" ref="B73"/>
  </hyperlinks>
  <drawing r:id="rId10"/>
</worksheet>
</file>